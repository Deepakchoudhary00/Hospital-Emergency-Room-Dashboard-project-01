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74c7cb15350ede6/Desktop/Data Analysis files/Excel project/Hospital managment system/"/>
    </mc:Choice>
  </mc:AlternateContent>
  <xr:revisionPtr revIDLastSave="0" documentId="8_{9C9D3F75-0A34-4538-862B-A9E7ECC13D0B}" xr6:coauthVersionLast="47" xr6:coauthVersionMax="47" xr10:uidLastSave="{00000000-0000-0000-0000-000000000000}"/>
  <bookViews>
    <workbookView xWindow="-108" yWindow="-108" windowWidth="23256" windowHeight="12456" firstSheet="3" activeTab="4" xr2:uid="{5970F86A-A467-4A93-87F1-522500E5E2A5}"/>
  </bookViews>
  <sheets>
    <sheet name="Wrong Pivot table" sheetId="1" r:id="rId1"/>
    <sheet name="Sheet2" sheetId="5" r:id="rId2"/>
    <sheet name="Orignal Pivot Table" sheetId="2" r:id="rId3"/>
    <sheet name="Patient Satifaction Trend" sheetId="7" r:id="rId4"/>
    <sheet name="Dashboard" sheetId="3" r:id="rId5"/>
    <sheet name="Average Wait time trend" sheetId="6" r:id="rId6"/>
    <sheet name="Daily ER No. of Patient" sheetId="4" r:id="rId7"/>
  </sheets>
  <definedNames>
    <definedName name="ExternalData_1" localSheetId="1" hidden="1">Sheet2!$A$3:$M$22</definedName>
    <definedName name="Slicer_Date__Month">#N/A</definedName>
    <definedName name="Slicer_Date__Year">#N/A</definedName>
  </definedNames>
  <calcPr calcId="191029"/>
  <pivotCaches>
    <pivotCache cacheId="0" r:id="rId8"/>
    <pivotCache cacheId="1" r:id="rId9"/>
    <pivotCache cacheId="279" r:id="rId10"/>
    <pivotCache cacheId="282" r:id="rId11"/>
    <pivotCache cacheId="285" r:id="rId12"/>
    <pivotCache cacheId="288" r:id="rId13"/>
    <pivotCache cacheId="291" r:id="rId14"/>
    <pivotCache cacheId="294" r:id="rId15"/>
    <pivotCache cacheId="297" r:id="rId16"/>
    <pivotCache cacheId="300" r:id="rId17"/>
    <pivotCache cacheId="303" r:id="rId18"/>
    <pivotCache cacheId="306" r:id="rId19"/>
    <pivotCache cacheId="309" r:id="rId20"/>
    <pivotCache cacheId="312" r:id="rId21"/>
  </pivotCaches>
  <extLst>
    <ext xmlns:x14="http://schemas.microsoft.com/office/spreadsheetml/2009/9/main" uri="{876F7934-8845-4945-9796-88D515C7AA90}">
      <x14:pivotCaches>
        <pivotCache cacheId="14"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13f47bb-bb66-4d66-9667-b877ab1b97d7" name="Hospital Emergency Room Data" connection="Query - Hospital Emergency Room Data"/>
          <x15:modelTable id="Calender_Table_9a696bcb-cd2a-42f3-adbd-58dbc791fdf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6" i="2" l="1"/>
  <c r="S16" i="2"/>
  <c r="Q16" i="2"/>
  <c r="R15" i="2"/>
  <c r="S15" i="2"/>
  <c r="Q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48C025-6C98-484D-A153-CE7E159152E5}" keepAlive="1" name="ModelConnection_ExternalData_1" description="Data Model" type="5" refreshedVersion="8" minRefreshableVersion="5" saveData="1">
    <dbPr connection="Data Model Connection" command="DRILLTHROUGH MAXROWS 1000 SELECT FROM [Model] WHERE (([Calender_Table].[Date (Month)].&amp;[Jan],[Measures].[Average of Patient Waittime],[Calender_Table].[Date (Day)].&amp;[1-Jan])) RETURN [$Hospital Emergency Room Data].[Patient Id],[$Hospital Emergency Room Data].[Patient Admission Date],[$Hospital Emergency Room Data].[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C91DB30-7E82-4CA5-8155-6F98952E3685}" name="Query - Calender_Table" description="Connection to the 'Calender_Table' query in the workbook." type="100" refreshedVersion="8" minRefreshableVersion="5">
    <extLst>
      <ext xmlns:x15="http://schemas.microsoft.com/office/spreadsheetml/2010/11/main" uri="{DE250136-89BD-433C-8126-D09CA5730AF9}">
        <x15:connection id="06ffbe0d-2ee5-406b-80df-33ab3bd033b0"/>
      </ext>
    </extLst>
  </connection>
  <connection id="3" xr16:uid="{6CFD5593-7960-49DD-AF85-9B1766EA7F7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7c6aa70-2c73-433c-84c7-d135e9dadec9"/>
      </ext>
    </extLst>
  </connection>
  <connection id="4" xr16:uid="{F1FB4E50-D106-41C5-A7CA-73078383A60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<sst xmlns="http://schemas.openxmlformats.org/spreadsheetml/2006/main" count="318" uniqueCount="132">
  <si>
    <t>Distinct Count of Patient Id</t>
  </si>
  <si>
    <t>Sum of Patient Waittime</t>
  </si>
  <si>
    <t>No. of Patient</t>
  </si>
  <si>
    <t>Average of Patient Waittime</t>
  </si>
  <si>
    <t>Average of Patient Satisfaction Score</t>
  </si>
  <si>
    <t>Row Labels</t>
  </si>
  <si>
    <t>Grand Total</t>
  </si>
  <si>
    <t xml:space="preserve"> </t>
  </si>
  <si>
    <t>Daily trends of no patient</t>
  </si>
  <si>
    <t>Avg wait time</t>
  </si>
  <si>
    <t>Hospital Emergency Room Data[Patient Id]</t>
  </si>
  <si>
    <t>Hospital Emergency Room Data[Patient Admission Date]</t>
  </si>
  <si>
    <t>Hospital Emergency Room Data[Time]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</si>
  <si>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</si>
  <si>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</si>
  <si>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</si>
  <si>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</si>
  <si>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</si>
  <si>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</si>
  <si>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</si>
  <si>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</si>
  <si>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</si>
  <si>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</si>
  <si>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860-05-8907</t>
  </si>
  <si>
    <t>E. St Clair</t>
  </si>
  <si>
    <t>Male</t>
  </si>
  <si>
    <t>White</t>
  </si>
  <si>
    <t>None</t>
  </si>
  <si>
    <t>Admitted</t>
  </si>
  <si>
    <t>30-39</t>
  </si>
  <si>
    <t>OnTime</t>
  </si>
  <si>
    <t>533-87-1299</t>
  </si>
  <si>
    <t>E. Brownlee</t>
  </si>
  <si>
    <t>Female</t>
  </si>
  <si>
    <t>Not Admitted</t>
  </si>
  <si>
    <t>20-29</t>
  </si>
  <si>
    <t>Delay</t>
  </si>
  <si>
    <t>392-57-1593</t>
  </si>
  <si>
    <t>M. Mantz</t>
  </si>
  <si>
    <t>African American</t>
  </si>
  <si>
    <t>01-09</t>
  </si>
  <si>
    <t>716-90-5923</t>
  </si>
  <si>
    <t>V. Seadon</t>
  </si>
  <si>
    <t>237-42-9499</t>
  </si>
  <si>
    <t>M. Broadbury</t>
  </si>
  <si>
    <t>60-69</t>
  </si>
  <si>
    <t>566-17-1941</t>
  </si>
  <si>
    <t>H. Hatz</t>
  </si>
  <si>
    <t>Asian</t>
  </si>
  <si>
    <t>390-79-5650</t>
  </si>
  <si>
    <t>E. Skerritt</t>
  </si>
  <si>
    <t>50-59</t>
  </si>
  <si>
    <t>761-66-7563</t>
  </si>
  <si>
    <t>W. Colvin</t>
  </si>
  <si>
    <t>General Practice</t>
  </si>
  <si>
    <t>608-47-0337</t>
  </si>
  <si>
    <t>R. Boyle</t>
  </si>
  <si>
    <t>Orthopedics</t>
  </si>
  <si>
    <t>730-54-8361</t>
  </si>
  <si>
    <t>R. O'Lennachain</t>
  </si>
  <si>
    <t>353-25-3957</t>
  </si>
  <si>
    <t>S. Levermore</t>
  </si>
  <si>
    <t>Cardiology</t>
  </si>
  <si>
    <t>10-19</t>
  </si>
  <si>
    <t>175-49-8550</t>
  </si>
  <si>
    <t>B. Nisot</t>
  </si>
  <si>
    <t>Pacific Islander</t>
  </si>
  <si>
    <t>452-18-8105</t>
  </si>
  <si>
    <t>U. Pattini</t>
  </si>
  <si>
    <t>Neurology</t>
  </si>
  <si>
    <t>338-57-1208</t>
  </si>
  <si>
    <t>S. Samwayes</t>
  </si>
  <si>
    <t>320-82-5563</t>
  </si>
  <si>
    <t>S. Rubel</t>
  </si>
  <si>
    <t>Declined to Identify</t>
  </si>
  <si>
    <t>868-41-2022</t>
  </si>
  <si>
    <t>M. Baulcombe</t>
  </si>
  <si>
    <t>Native American/Alaska Native</t>
  </si>
  <si>
    <t>687-65-8903</t>
  </si>
  <si>
    <t>R. Lovstrom</t>
  </si>
  <si>
    <t>130-03-6486</t>
  </si>
  <si>
    <t>M. Carwithan</t>
  </si>
  <si>
    <t>641-52-3173</t>
  </si>
  <si>
    <t>L. Harford</t>
  </si>
  <si>
    <t>Data returned for Average of Patient Waittime, 1-Jan, Jan (First 1000 rows).</t>
  </si>
  <si>
    <t>Patient Satifaction Trend</t>
  </si>
  <si>
    <t>Count of Patient attend Status</t>
  </si>
  <si>
    <t>40-49</t>
  </si>
  <si>
    <t>70-79</t>
  </si>
  <si>
    <t>Count of Age Group</t>
  </si>
  <si>
    <t>Age Group wise Analysies</t>
  </si>
  <si>
    <t>attend status</t>
  </si>
  <si>
    <t>Count of Patient Gender</t>
  </si>
  <si>
    <t>Gastroenterology</t>
  </si>
  <si>
    <t>Physiotherapy</t>
  </si>
  <si>
    <t>Renal</t>
  </si>
  <si>
    <t>Count of Department Referral</t>
  </si>
  <si>
    <t>2024</t>
  </si>
  <si>
    <t>Count of Patient Admission Flag</t>
  </si>
  <si>
    <t>Count of Patient Admission Flag2</t>
  </si>
  <si>
    <t>Admission Status</t>
  </si>
  <si>
    <t>% Status</t>
  </si>
  <si>
    <t>Chart</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</si>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</sst>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b/>
      <sz val="11"/>
      <color theme="1"/>
      <name val="Calibri"/>
      <family val="2"/>
      <scheme val="minor"/>
    </font>
    <font>
      <sz val="12"/>
      <color theme="0"/>
      <name val="Calibri"/>
      <family val="2"/>
      <scheme val="minor"/>
    </font>
    <font>
      <sz val="11"/>
      <color theme="0"/>
      <name val="Calibri"/>
      <family val="2"/>
      <scheme val="minor"/>
    </font>
  </fonts>
  <fills count="9">
    <fill>
      <patternFill patternType="none"/>
    </fill>
    <fill>
      <patternFill patternType="gray125"/>
    </fill>
    <fill>
      <patternFill patternType="solid">
        <fgColor theme="3" tint="-0.499984740745262"/>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000066"/>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0" fillId="3" borderId="0" xfId="0" applyFill="1"/>
    <xf numFmtId="0" fontId="0" fillId="4" borderId="0" xfId="0" applyFill="1"/>
    <xf numFmtId="14" fontId="0" fillId="0" borderId="0" xfId="0" applyNumberFormat="1"/>
    <xf numFmtId="21" fontId="0" fillId="0" borderId="0" xfId="0" applyNumberFormat="1"/>
    <xf numFmtId="0" fontId="1" fillId="0" borderId="0" xfId="0" applyFont="1"/>
    <xf numFmtId="0" fontId="0" fillId="5" borderId="0" xfId="0" applyFill="1"/>
    <xf numFmtId="0" fontId="0" fillId="6" borderId="0" xfId="0" applyFill="1"/>
    <xf numFmtId="1" fontId="0" fillId="0" borderId="0" xfId="0" applyNumberFormat="1"/>
    <xf numFmtId="0" fontId="2" fillId="0" borderId="0" xfId="0" applyFont="1" applyAlignment="1">
      <alignment horizontal="center" vertical="center"/>
    </xf>
    <xf numFmtId="0" fontId="1" fillId="0" borderId="0" xfId="0" applyFont="1" applyAlignment="1">
      <alignment horizontal="center" vertical="center"/>
    </xf>
    <xf numFmtId="9" fontId="1" fillId="0" borderId="0" xfId="0" applyNumberFormat="1" applyFont="1" applyAlignment="1">
      <alignment horizontal="center" vertical="center"/>
    </xf>
    <xf numFmtId="10" fontId="0" fillId="0" borderId="0" xfId="0" applyNumberFormat="1"/>
    <xf numFmtId="164" fontId="0" fillId="0" borderId="0" xfId="0" applyNumberFormat="1"/>
    <xf numFmtId="0" fontId="3" fillId="7" borderId="0" xfId="0" applyFont="1" applyFill="1" applyAlignment="1">
      <alignment horizontal="center" vertical="center"/>
    </xf>
    <xf numFmtId="0" fontId="0" fillId="8" borderId="0" xfId="0" applyFill="1" applyAlignment="1">
      <alignment horizontal="center" vertical="center"/>
    </xf>
    <xf numFmtId="10" fontId="0" fillId="8" borderId="0" xfId="0" applyNumberFormat="1" applyFill="1" applyAlignment="1">
      <alignment horizontal="center" vertical="center"/>
    </xf>
    <xf numFmtId="0" fontId="0" fillId="8" borderId="0" xfId="0" applyFill="1"/>
    <xf numFmtId="0" fontId="0" fillId="0" borderId="0" xfId="0" applyAlignment="1">
      <alignment horizontal="center"/>
    </xf>
    <xf numFmtId="0" fontId="0" fillId="0" borderId="0" xfId="0" applyNumberFormat="1"/>
  </cellXfs>
  <cellStyles count="1">
    <cellStyle name="Normal" xfId="0" builtinId="0"/>
  </cellStyles>
  <dxfs count="186">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64" formatCode="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64" formatCode="0.0%"/>
    </dxf>
    <dxf>
      <numFmt numFmtId="164" formatCode="0.0%"/>
    </dxf>
    <dxf>
      <numFmt numFmtId="14" formatCode="0.00%"/>
    </dxf>
    <dxf>
      <numFmt numFmtId="2" formatCode="0.00"/>
    </dxf>
    <dxf>
      <numFmt numFmtId="2" formatCode="0.00"/>
    </dxf>
    <dxf>
      <numFmt numFmtId="1" formatCode="0"/>
    </dxf>
    <dxf>
      <numFmt numFmtId="2" formatCode="0.00"/>
    </dxf>
    <dxf>
      <numFmt numFmtId="26" formatCode="hh:mm:ss"/>
    </dxf>
    <dxf>
      <numFmt numFmtId="19" formatCode="dd/mm/yyyy"/>
    </dxf>
    <dxf>
      <font>
        <b/>
        <color theme="1"/>
      </font>
      <border>
        <bottom style="thin">
          <color theme="5"/>
        </bottom>
        <vertical/>
        <horizontal/>
      </border>
    </dxf>
    <dxf>
      <font>
        <b/>
        <i val="0"/>
        <sz val="12"/>
        <color theme="1"/>
      </font>
      <fill>
        <patternFill>
          <bgColor theme="2"/>
        </patternFill>
      </fill>
      <border diagonalUp="0" diagonalDown="0">
        <left/>
        <right/>
        <top/>
        <bottom/>
        <vertical/>
        <horizontal/>
      </border>
    </dxf>
  </dxfs>
  <tableStyles count="1" defaultTableStyle="TableStyleMedium2" defaultPivotStyle="PivotStyleLight16">
    <tableStyle name="My Style" pivot="0" table="0" count="10" xr9:uid="{5C4C4DFB-48BC-4F57-A301-D37EDFCE7A85}">
      <tableStyleElement type="wholeTable" dxfId="185"/>
      <tableStyleElement type="headerRow" dxfId="184"/>
    </tableStyle>
  </tableStyles>
  <colors>
    <mruColors>
      <color rgb="FF0000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Table!PivotTable9</c:name>
    <c:fmtId val="82"/>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layout>
            <c:manualLayout>
              <c:x val="-8.2572434155644865E-3"/>
              <c:y val="-1.686722184590463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EEE0481-6696-457A-A217-1EEF831133A6}"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9934386904222859"/>
                  <c:h val="0.4211905643377401"/>
                </c:manualLayout>
              </c15:layout>
              <c15:dlblFieldTable/>
              <c15:showDataLabelsRange val="1"/>
            </c:ext>
          </c:extLst>
        </c:dLbl>
      </c:pivotFmt>
      <c:pivotFmt>
        <c:idx val="3"/>
        <c:spPr>
          <a:solidFill>
            <a:srgbClr val="002060"/>
          </a:solidFill>
          <a:ln>
            <a:noFill/>
          </a:ln>
          <a:effectLst/>
        </c:spPr>
        <c:dLbl>
          <c:idx val="0"/>
          <c:layout>
            <c:manualLayout>
              <c:x val="8.2572434155644119E-3"/>
              <c:y val="-6.6408999747645799E-7"/>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9219E8B1-EF6B-499F-80A1-52711A12B192}"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2767507833311551"/>
                  <c:h val="0.38745533994766962"/>
                </c:manualLayout>
              </c15:layout>
              <c15:dlblFieldTable/>
              <c15:showDataLabelsRange val="1"/>
            </c:ext>
          </c:extLst>
        </c:dLbl>
      </c:pivotFmt>
    </c:pivotFmts>
    <c:plotArea>
      <c:layout>
        <c:manualLayout>
          <c:layoutTarget val="inner"/>
          <c:xMode val="edge"/>
          <c:yMode val="edge"/>
          <c:x val="0.15920603181269888"/>
          <c:y val="0.22347159687080792"/>
          <c:w val="0.62787048671039003"/>
          <c:h val="0.548914212854126"/>
        </c:manualLayout>
      </c:layout>
      <c:barChart>
        <c:barDir val="bar"/>
        <c:grouping val="clustered"/>
        <c:varyColors val="0"/>
        <c:ser>
          <c:idx val="0"/>
          <c:order val="0"/>
          <c:tx>
            <c:strRef>
              <c:f>'Orignal Pivot Table'!$S$4:$S$5</c:f>
              <c:strCache>
                <c:ptCount val="1"/>
                <c:pt idx="0">
                  <c:v>Count of Patient Admission Flag</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3-920B-43AD-912D-8D07BCAFFD69}"/>
              </c:ext>
            </c:extLst>
          </c:dPt>
          <c:dPt>
            <c:idx val="1"/>
            <c:invertIfNegative val="0"/>
            <c:bubble3D val="0"/>
            <c:extLst>
              <c:ext xmlns:c16="http://schemas.microsoft.com/office/drawing/2014/chart" uri="{C3380CC4-5D6E-409C-BE32-E72D297353CC}">
                <c16:uniqueId val="{00000004-920B-43AD-912D-8D07BCAFFD69}"/>
              </c:ext>
            </c:extLst>
          </c:dPt>
          <c:dLbls>
            <c:dLbl>
              <c:idx val="0"/>
              <c:layout>
                <c:manualLayout>
                  <c:x val="-8.2572434155644865E-3"/>
                  <c:y val="-1.6867221845904633E-2"/>
                </c:manualLayout>
              </c:layout>
              <c:tx>
                <c:rich>
                  <a:bodyPr/>
                  <a:lstStyle/>
                  <a:p>
                    <a:fld id="{7EEE0481-6696-457A-A217-1EEF831133A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9934386904222859"/>
                      <c:h val="0.4211905643377401"/>
                    </c:manualLayout>
                  </c15:layout>
                  <c15:dlblFieldTable/>
                  <c15:showDataLabelsRange val="1"/>
                </c:ext>
                <c:ext xmlns:c16="http://schemas.microsoft.com/office/drawing/2014/chart" uri="{C3380CC4-5D6E-409C-BE32-E72D297353CC}">
                  <c16:uniqueId val="{00000003-920B-43AD-912D-8D07BCAFFD69}"/>
                </c:ext>
              </c:extLst>
            </c:dLbl>
            <c:dLbl>
              <c:idx val="1"/>
              <c:layout>
                <c:manualLayout>
                  <c:x val="8.2572434155644119E-3"/>
                  <c:y val="-6.6408999747645799E-7"/>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9219E8B1-EF6B-499F-80A1-52711A12B192}"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2767507833311551"/>
                      <c:h val="0.38745533994766962"/>
                    </c:manualLayout>
                  </c15:layout>
                  <c15:dlblFieldTable/>
                  <c15:showDataLabelsRange val="1"/>
                </c:ext>
                <c:ext xmlns:c16="http://schemas.microsoft.com/office/drawing/2014/chart" uri="{C3380CC4-5D6E-409C-BE32-E72D297353CC}">
                  <c16:uniqueId val="{00000004-920B-43AD-912D-8D07BCAFFD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'Orignal Pivot Table'!$S$4:$S$5</c:f>
              <c:strCache>
                <c:ptCount val="2"/>
                <c:pt idx="0">
                  <c:v>Admitted</c:v>
                </c:pt>
                <c:pt idx="1">
                  <c:v>Not Admitted</c:v>
                </c:pt>
              </c:strCache>
            </c:strRef>
          </c:cat>
          <c:val>
            <c:numRef>
              <c:f>'Orignal Pivot Table'!$S$4:$S$5</c:f>
              <c:numCache>
                <c:formatCode>0.00</c:formatCode>
                <c:ptCount val="2"/>
                <c:pt idx="0">
                  <c:v>224</c:v>
                </c:pt>
                <c:pt idx="1">
                  <c:v>207</c:v>
                </c:pt>
              </c:numCache>
            </c:numRef>
          </c:val>
          <c:extLst>
            <c:ext xmlns:c15="http://schemas.microsoft.com/office/drawing/2012/chart" uri="{02D57815-91ED-43cb-92C2-25804820EDAC}">
              <c15:datalabelsRange>
                <c15:f>'Orignal Pivot Table'!$S$4:$S$5</c15:f>
                <c15:dlblRangeCache>
                  <c:ptCount val="2"/>
                  <c:pt idx="0">
                    <c:v>52.0%</c:v>
                  </c:pt>
                  <c:pt idx="1">
                    <c:v>48.0%</c:v>
                  </c:pt>
                </c15:dlblRangeCache>
              </c15:datalabelsRange>
            </c:ext>
            <c:ext xmlns:c16="http://schemas.microsoft.com/office/drawing/2014/chart" uri="{C3380CC4-5D6E-409C-BE32-E72D297353CC}">
              <c16:uniqueId val="{00000000-920B-43AD-912D-8D07BCAFFD69}"/>
            </c:ext>
          </c:extLst>
        </c:ser>
        <c:ser>
          <c:idx val="1"/>
          <c:order val="1"/>
          <c:tx>
            <c:strRef>
              <c:f>'Orignal Pivot Table'!$S$4:$S$5</c:f>
              <c:strCache>
                <c:ptCount val="1"/>
                <c:pt idx="0">
                  <c:v>Count of Patient Admission Flag2</c:v>
                </c:pt>
              </c:strCache>
            </c:strRef>
          </c:tx>
          <c:spPr>
            <a:solidFill>
              <a:schemeClr val="accent2"/>
            </a:solidFill>
            <a:ln>
              <a:noFill/>
            </a:ln>
            <a:effectLst/>
          </c:spPr>
          <c:invertIfNegative val="0"/>
          <c:cat>
            <c:strRef>
              <c:f>'Orignal Pivot Table'!$S$4:$S$5</c:f>
              <c:strCache>
                <c:ptCount val="2"/>
                <c:pt idx="0">
                  <c:v>Admitted</c:v>
                </c:pt>
                <c:pt idx="1">
                  <c:v>Not Admitted</c:v>
                </c:pt>
              </c:strCache>
            </c:strRef>
          </c:cat>
          <c:val>
            <c:numRef>
              <c:f>'Orignal Pivot Table'!$S$4:$S$5</c:f>
              <c:numCache>
                <c:formatCode>0.0%</c:formatCode>
                <c:ptCount val="2"/>
                <c:pt idx="0">
                  <c:v>0.51972157772621808</c:v>
                </c:pt>
                <c:pt idx="1">
                  <c:v>0.48027842227378192</c:v>
                </c:pt>
              </c:numCache>
            </c:numRef>
          </c:val>
          <c:extLst>
            <c:ext xmlns:c16="http://schemas.microsoft.com/office/drawing/2014/chart" uri="{C3380CC4-5D6E-409C-BE32-E72D297353CC}">
              <c16:uniqueId val="{00000001-920B-43AD-912D-8D07BCAFFD69}"/>
            </c:ext>
          </c:extLst>
        </c:ser>
        <c:dLbls>
          <c:showLegendKey val="0"/>
          <c:showVal val="0"/>
          <c:showCatName val="0"/>
          <c:showSerName val="0"/>
          <c:showPercent val="0"/>
          <c:showBubbleSize val="0"/>
        </c:dLbls>
        <c:gapWidth val="119"/>
        <c:overlap val="60"/>
        <c:axId val="1425480256"/>
        <c:axId val="1845537743"/>
      </c:barChart>
      <c:catAx>
        <c:axId val="1425480256"/>
        <c:scaling>
          <c:orientation val="minMax"/>
        </c:scaling>
        <c:delete val="1"/>
        <c:axPos val="l"/>
        <c:numFmt formatCode="General" sourceLinked="1"/>
        <c:majorTickMark val="none"/>
        <c:minorTickMark val="none"/>
        <c:tickLblPos val="nextTo"/>
        <c:crossAx val="1845537743"/>
        <c:crosses val="autoZero"/>
        <c:auto val="1"/>
        <c:lblAlgn val="ctr"/>
        <c:lblOffset val="100"/>
        <c:noMultiLvlLbl val="0"/>
      </c:catAx>
      <c:valAx>
        <c:axId val="1845537743"/>
        <c:scaling>
          <c:orientation val="minMax"/>
        </c:scaling>
        <c:delete val="1"/>
        <c:axPos val="b"/>
        <c:numFmt formatCode="0.00" sourceLinked="1"/>
        <c:majorTickMark val="none"/>
        <c:minorTickMark val="none"/>
        <c:tickLblPos val="nextTo"/>
        <c:crossAx val="142548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Table!PivotTable2</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93899950817837E-2"/>
          <c:y val="0.24418615829800325"/>
          <c:w val="0.94842044906724321"/>
          <c:h val="0.75581384170199672"/>
        </c:manualLayout>
      </c:layout>
      <c:areaChart>
        <c:grouping val="standard"/>
        <c:varyColors val="0"/>
        <c:ser>
          <c:idx val="0"/>
          <c:order val="0"/>
          <c:tx>
            <c:strRef>
              <c:f>'Orignal Pivot Table'!$N$3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'Orignal Pivot Table'!$M$4:$M$32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'Orignal Pivot Table'!$N$4:$N$32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237F-437D-B196-D73BF95BEDF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97815199"/>
        <c:axId val="199953327"/>
      </c:areaChart>
      <c:catAx>
        <c:axId val="9978151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953327"/>
        <c:crosses val="autoZero"/>
        <c:auto val="1"/>
        <c:lblAlgn val="ctr"/>
        <c:lblOffset val="100"/>
        <c:noMultiLvlLbl val="0"/>
      </c:catAx>
      <c:valAx>
        <c:axId val="199953327"/>
        <c:scaling>
          <c:orientation val="minMax"/>
        </c:scaling>
        <c:delete val="1"/>
        <c:axPos val="l"/>
        <c:numFmt formatCode="0.00" sourceLinked="1"/>
        <c:majorTickMark val="out"/>
        <c:minorTickMark val="none"/>
        <c:tickLblPos val="nextTo"/>
        <c:crossAx val="997815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Table!PivotTable6</c:name>
    <c:fmtId val="1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002060"/>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861659560764623E-3"/>
          <c:y val="0.56298521142314506"/>
          <c:w val="0.87319663167104111"/>
          <c:h val="0.43701478857685488"/>
        </c:manualLayout>
      </c:layout>
      <c:areaChart>
        <c:grouping val="standard"/>
        <c:varyColors val="0"/>
        <c:ser>
          <c:idx val="0"/>
          <c:order val="0"/>
          <c:tx>
            <c:strRef>
              <c:f>'Orignal Pivot Table'!$E$3</c:f>
              <c:strCache>
                <c:ptCount val="1"/>
                <c:pt idx="0">
                  <c:v>Total</c:v>
                </c:pt>
              </c:strCache>
            </c:strRef>
          </c:tx>
          <c:spPr>
            <a:solidFill>
              <a:srgbClr val="002060"/>
            </a:solidFill>
            <a:ln>
              <a:noFill/>
            </a:ln>
            <a:effectLst/>
          </c:spPr>
          <c:cat>
            <c:strRef>
              <c:f>'Orignal Pivot Table'!$D$4:$D$33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'Orignal Pivot Table'!$E$4:$E$33</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E292-4B2A-9CF0-EEE9FE312082}"/>
            </c:ext>
          </c:extLst>
        </c:ser>
        <c:dLbls>
          <c:showLegendKey val="0"/>
          <c:showVal val="0"/>
          <c:showCatName val="0"/>
          <c:showSerName val="0"/>
          <c:showPercent val="0"/>
          <c:showBubbleSize val="0"/>
        </c:dLbls>
        <c:axId val="322749648"/>
        <c:axId val="201239920"/>
      </c:areaChart>
      <c:catAx>
        <c:axId val="322749648"/>
        <c:scaling>
          <c:orientation val="minMax"/>
        </c:scaling>
        <c:delete val="1"/>
        <c:axPos val="b"/>
        <c:numFmt formatCode="General" sourceLinked="1"/>
        <c:majorTickMark val="out"/>
        <c:minorTickMark val="none"/>
        <c:tickLblPos val="nextTo"/>
        <c:crossAx val="201239920"/>
        <c:crosses val="autoZero"/>
        <c:auto val="1"/>
        <c:lblAlgn val="ctr"/>
        <c:lblOffset val="100"/>
        <c:noMultiLvlLbl val="0"/>
      </c:catAx>
      <c:valAx>
        <c:axId val="201239920"/>
        <c:scaling>
          <c:orientation val="minMax"/>
        </c:scaling>
        <c:delete val="1"/>
        <c:axPos val="l"/>
        <c:numFmt formatCode="General" sourceLinked="1"/>
        <c:majorTickMark val="none"/>
        <c:minorTickMark val="none"/>
        <c:tickLblPos val="nextTo"/>
        <c:crossAx val="322749648"/>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93768022197346E-3"/>
          <c:y val="0.66293786029354984"/>
          <c:w val="0.99414062319778029"/>
          <c:h val="0.3097888549195259"/>
        </c:manualLayout>
      </c:layout>
      <c:areaChart>
        <c:grouping val="standard"/>
        <c:varyColors val="0"/>
        <c:ser>
          <c:idx val="0"/>
          <c:order val="0"/>
          <c:tx>
            <c:strRef>
              <c:f>'Orignal Pivot Table'!$K$2</c:f>
              <c:strCache>
                <c:ptCount val="1"/>
                <c:pt idx="0">
                  <c:v>Total</c:v>
                </c:pt>
              </c:strCache>
            </c:strRef>
          </c:tx>
          <c:spPr>
            <a:solidFill>
              <a:srgbClr val="002060"/>
            </a:solidFill>
            <a:ln>
              <a:noFill/>
            </a:ln>
            <a:effectLst/>
          </c:spPr>
          <c:cat>
            <c:strRef>
              <c:f>'Orignal Pivot Table'!$J$3:$J$32</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'Orignal Pivot Table'!$K$3:$K$32</c:f>
              <c:numCache>
                <c:formatCode>General</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C1E3-4915-B45E-13F91A93E465}"/>
            </c:ext>
          </c:extLst>
        </c:ser>
        <c:dLbls>
          <c:showLegendKey val="0"/>
          <c:showVal val="0"/>
          <c:showCatName val="0"/>
          <c:showSerName val="0"/>
          <c:showPercent val="0"/>
          <c:showBubbleSize val="0"/>
        </c:dLbls>
        <c:axId val="810957183"/>
        <c:axId val="200009487"/>
      </c:areaChart>
      <c:catAx>
        <c:axId val="810957183"/>
        <c:scaling>
          <c:orientation val="minMax"/>
        </c:scaling>
        <c:delete val="1"/>
        <c:axPos val="b"/>
        <c:numFmt formatCode="General" sourceLinked="1"/>
        <c:majorTickMark val="out"/>
        <c:minorTickMark val="none"/>
        <c:tickLblPos val="nextTo"/>
        <c:crossAx val="200009487"/>
        <c:crosses val="autoZero"/>
        <c:auto val="1"/>
        <c:lblAlgn val="ctr"/>
        <c:lblOffset val="100"/>
        <c:noMultiLvlLbl val="0"/>
      </c:catAx>
      <c:valAx>
        <c:axId val="200009487"/>
        <c:scaling>
          <c:orientation val="minMax"/>
        </c:scaling>
        <c:delete val="1"/>
        <c:axPos val="l"/>
        <c:numFmt formatCode="General" sourceLinked="1"/>
        <c:majorTickMark val="none"/>
        <c:minorTickMark val="none"/>
        <c:tickLblPos val="nextTo"/>
        <c:crossAx val="810957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7609211294803"/>
          <c:y val="0.24418615829800325"/>
          <c:w val="0.848623907887052"/>
          <c:h val="0.75581384170199672"/>
        </c:manualLayout>
      </c:layout>
      <c:areaChart>
        <c:grouping val="standard"/>
        <c:varyColors val="0"/>
        <c:ser>
          <c:idx val="0"/>
          <c:order val="0"/>
          <c:tx>
            <c:strRef>
              <c:f>'Orignal Pivot Table'!$N$3</c:f>
              <c:strCache>
                <c:ptCount val="1"/>
                <c:pt idx="0">
                  <c:v>Total</c:v>
                </c:pt>
              </c:strCache>
            </c:strRef>
          </c:tx>
          <c:spPr>
            <a:solidFill>
              <a:srgbClr val="002060"/>
            </a:solidFill>
            <a:ln>
              <a:noFill/>
            </a:ln>
            <a:effectLst/>
          </c:spPr>
          <c:cat>
            <c:strRef>
              <c:f>'Orignal Pivot Table'!$M$4:$M$32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'Orignal Pivot Table'!$N$4:$N$32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C8DA-4B38-9715-19EBBEB247EC}"/>
            </c:ext>
          </c:extLst>
        </c:ser>
        <c:dLbls>
          <c:showLegendKey val="0"/>
          <c:showVal val="0"/>
          <c:showCatName val="0"/>
          <c:showSerName val="0"/>
          <c:showPercent val="0"/>
          <c:showBubbleSize val="0"/>
        </c:dLbls>
        <c:axId val="997815199"/>
        <c:axId val="199953327"/>
      </c:areaChart>
      <c:catAx>
        <c:axId val="997815199"/>
        <c:scaling>
          <c:orientation val="minMax"/>
        </c:scaling>
        <c:delete val="1"/>
        <c:axPos val="b"/>
        <c:numFmt formatCode="General" sourceLinked="1"/>
        <c:majorTickMark val="out"/>
        <c:minorTickMark val="none"/>
        <c:tickLblPos val="nextTo"/>
        <c:crossAx val="199953327"/>
        <c:crosses val="autoZero"/>
        <c:auto val="1"/>
        <c:lblAlgn val="ctr"/>
        <c:lblOffset val="100"/>
        <c:noMultiLvlLbl val="0"/>
      </c:catAx>
      <c:valAx>
        <c:axId val="199953327"/>
        <c:scaling>
          <c:orientation val="minMax"/>
        </c:scaling>
        <c:delete val="1"/>
        <c:axPos val="l"/>
        <c:numFmt formatCode="0.00" sourceLinked="1"/>
        <c:majorTickMark val="none"/>
        <c:minorTickMark val="none"/>
        <c:tickLblPos val="nextTo"/>
        <c:crossAx val="997815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Table!PivotTable10</c:name>
    <c:fmtId val="6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52977312768892E-2"/>
          <c:y val="5.5184908461914433E-3"/>
          <c:w val="0.93888888888888888"/>
          <c:h val="0.75076533047005489"/>
        </c:manualLayout>
      </c:layout>
      <c:barChart>
        <c:barDir val="col"/>
        <c:grouping val="clustered"/>
        <c:varyColors val="0"/>
        <c:ser>
          <c:idx val="0"/>
          <c:order val="0"/>
          <c:tx>
            <c:strRef>
              <c:f>'Orignal Pivot Table'!$C$49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'Orignal Pivot Table'!$B$50:$B$58</c:f>
              <c:strCache>
                <c:ptCount val="8"/>
                <c:pt idx="0">
                  <c:v>01-09</c:v>
                </c:pt>
                <c:pt idx="1">
                  <c:v>10-19</c:v>
                </c:pt>
                <c:pt idx="2">
                  <c:v>20-29</c:v>
                </c:pt>
                <c:pt idx="3">
                  <c:v>30-39</c:v>
                </c:pt>
                <c:pt idx="4">
                  <c:v>40-49</c:v>
                </c:pt>
                <c:pt idx="5">
                  <c:v>50-59</c:v>
                </c:pt>
                <c:pt idx="6">
                  <c:v>60-69</c:v>
                </c:pt>
                <c:pt idx="7">
                  <c:v>70-79</c:v>
                </c:pt>
              </c:strCache>
            </c:strRef>
          </c:cat>
          <c:val>
            <c:numRef>
              <c:f>'Orignal Pivot Table'!$C$50:$C$58</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CF1F-409D-BBDE-ECCA4A4D0832}"/>
            </c:ext>
          </c:extLst>
        </c:ser>
        <c:dLbls>
          <c:showLegendKey val="0"/>
          <c:showVal val="0"/>
          <c:showCatName val="0"/>
          <c:showSerName val="0"/>
          <c:showPercent val="0"/>
          <c:showBubbleSize val="0"/>
        </c:dLbls>
        <c:gapWidth val="92"/>
        <c:overlap val="-27"/>
        <c:axId val="997828191"/>
        <c:axId val="199936527"/>
      </c:barChart>
      <c:catAx>
        <c:axId val="997828191"/>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a:softEdge rad="0"/>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936527"/>
        <c:crosses val="autoZero"/>
        <c:auto val="1"/>
        <c:lblAlgn val="ctr"/>
        <c:lblOffset val="100"/>
        <c:noMultiLvlLbl val="0"/>
      </c:catAx>
      <c:valAx>
        <c:axId val="199936527"/>
        <c:scaling>
          <c:orientation val="minMax"/>
        </c:scaling>
        <c:delete val="1"/>
        <c:axPos val="l"/>
        <c:numFmt formatCode="0" sourceLinked="1"/>
        <c:majorTickMark val="none"/>
        <c:minorTickMark val="none"/>
        <c:tickLblPos val="nextTo"/>
        <c:crossAx val="99782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508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Table!PivotTable11</c:name>
    <c:fmtId val="7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774655511811025"/>
          <c:y val="0.1628308544032685"/>
          <c:w val="0.66038681102362207"/>
          <c:h val="0.74409822784641666"/>
        </c:manualLayout>
      </c:layout>
      <c:pieChart>
        <c:varyColors val="1"/>
        <c:ser>
          <c:idx val="0"/>
          <c:order val="0"/>
          <c:tx>
            <c:strRef>
              <c:f>'Orignal Pivot Table'!$F$49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7B6-41E6-B21E-AA23B4724AB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7B6-41E6-B21E-AA23B4724AB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'Orignal Pivot Table'!$E$50:$E$52</c:f>
              <c:strCache>
                <c:ptCount val="2"/>
                <c:pt idx="0">
                  <c:v>Delay</c:v>
                </c:pt>
                <c:pt idx="1">
                  <c:v>OnTime</c:v>
                </c:pt>
              </c:strCache>
            </c:strRef>
          </c:cat>
          <c:val>
            <c:numRef>
              <c:f>'Orignal Pivot Table'!$F$50:$F$52</c:f>
              <c:numCache>
                <c:formatCode>0</c:formatCode>
                <c:ptCount val="2"/>
                <c:pt idx="0">
                  <c:v>283</c:v>
                </c:pt>
                <c:pt idx="1">
                  <c:v>148</c:v>
                </c:pt>
              </c:numCache>
            </c:numRef>
          </c:val>
          <c:extLst>
            <c:ext xmlns:c16="http://schemas.microsoft.com/office/drawing/2014/chart" uri="{C3380CC4-5D6E-409C-BE32-E72D297353CC}">
              <c16:uniqueId val="{00000004-B7B6-41E6-B21E-AA23B4724ABF}"/>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5.1896161417322825E-2"/>
          <c:y val="2.9047925611581239E-2"/>
          <c:w val="0.86685383858267717"/>
          <c:h val="0.1531707625433971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Table!PivotTable12</c:name>
    <c:fmtId val="8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670112955599816"/>
          <c:y val="0.12291774157362423"/>
          <c:w val="0.57622625878128764"/>
          <c:h val="0.7719776912891706"/>
        </c:manualLayout>
      </c:layout>
      <c:doughnutChart>
        <c:varyColors val="1"/>
        <c:ser>
          <c:idx val="0"/>
          <c:order val="0"/>
          <c:tx>
            <c:strRef>
              <c:f>'Orignal Pivot Table'!$F$55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7B4-4089-AE36-B5EC516020C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7B4-4089-AE36-B5EC516020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'Orignal Pivot Table'!$E$56:$E$58</c:f>
              <c:strCache>
                <c:ptCount val="2"/>
                <c:pt idx="0">
                  <c:v>Female</c:v>
                </c:pt>
                <c:pt idx="1">
                  <c:v>Male</c:v>
                </c:pt>
              </c:strCache>
            </c:strRef>
          </c:cat>
          <c:val>
            <c:numRef>
              <c:f>'Orignal Pivot Table'!$F$56:$F$58</c:f>
              <c:numCache>
                <c:formatCode>0.00</c:formatCode>
                <c:ptCount val="2"/>
                <c:pt idx="0">
                  <c:v>194</c:v>
                </c:pt>
                <c:pt idx="1">
                  <c:v>237</c:v>
                </c:pt>
              </c:numCache>
            </c:numRef>
          </c:val>
          <c:extLst>
            <c:ext xmlns:c16="http://schemas.microsoft.com/office/drawing/2014/chart" uri="{C3380CC4-5D6E-409C-BE32-E72D297353CC}">
              <c16:uniqueId val="{00000004-37B4-4089-AE36-B5EC516020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8975131882770496"/>
          <c:y val="5.7815689705455859E-4"/>
          <c:w val="0.61818493199801239"/>
          <c:h val="0.1562510936132983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Table!PivotTable7</c:name>
    <c:fmtId val="92"/>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'Orignal Pivot Table'!$F$61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'Orignal Pivot Table'!$E$62:$E$70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'Orignal Pivot Table'!$F$62:$F$70</c:f>
              <c:numCache>
                <c:formatCode>0</c:formatCode>
                <c:ptCount val="8"/>
                <c:pt idx="0">
                  <c:v>12</c:v>
                </c:pt>
                <c:pt idx="1">
                  <c:v>6</c:v>
                </c:pt>
                <c:pt idx="2">
                  <c:v>89</c:v>
                </c:pt>
                <c:pt idx="3">
                  <c:v>6</c:v>
                </c:pt>
                <c:pt idx="4">
                  <c:v>252</c:v>
                </c:pt>
                <c:pt idx="5">
                  <c:v>46</c:v>
                </c:pt>
                <c:pt idx="6">
                  <c:v>14</c:v>
                </c:pt>
                <c:pt idx="7">
                  <c:v>6</c:v>
                </c:pt>
              </c:numCache>
            </c:numRef>
          </c:val>
          <c:extLst>
            <c:ext xmlns:c16="http://schemas.microsoft.com/office/drawing/2014/chart" uri="{C3380CC4-5D6E-409C-BE32-E72D297353CC}">
              <c16:uniqueId val="{00000000-F477-44E6-B8F3-F13FF751487F}"/>
            </c:ext>
          </c:extLst>
        </c:ser>
        <c:dLbls>
          <c:showLegendKey val="0"/>
          <c:showVal val="0"/>
          <c:showCatName val="0"/>
          <c:showSerName val="0"/>
          <c:showPercent val="0"/>
          <c:showBubbleSize val="0"/>
        </c:dLbls>
        <c:gapWidth val="55"/>
        <c:overlap val="-36"/>
        <c:axId val="373362832"/>
        <c:axId val="764547152"/>
      </c:barChart>
      <c:catAx>
        <c:axId val="37336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64547152"/>
        <c:crosses val="autoZero"/>
        <c:auto val="1"/>
        <c:lblAlgn val="ctr"/>
        <c:lblOffset val="100"/>
        <c:noMultiLvlLbl val="0"/>
      </c:catAx>
      <c:valAx>
        <c:axId val="764547152"/>
        <c:scaling>
          <c:orientation val="minMax"/>
        </c:scaling>
        <c:delete val="1"/>
        <c:axPos val="b"/>
        <c:numFmt formatCode="0" sourceLinked="1"/>
        <c:majorTickMark val="none"/>
        <c:minorTickMark val="none"/>
        <c:tickLblPos val="nextTo"/>
        <c:crossAx val="37336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Table!PivotTable1</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93768022197346E-3"/>
          <c:y val="0.15830848271625622"/>
          <c:w val="0.99414062319778029"/>
          <c:h val="0.62184564695370526"/>
        </c:manualLayout>
      </c:layout>
      <c:areaChart>
        <c:grouping val="standard"/>
        <c:varyColors val="0"/>
        <c:ser>
          <c:idx val="0"/>
          <c:order val="0"/>
          <c:tx>
            <c:strRef>
              <c:f>'Orignal Pivot Table'!$K$2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'Orignal Pivot Table'!$J$3:$J$32</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'Orignal Pivot Table'!$K$3:$K$32</c:f>
              <c:numCache>
                <c:formatCode>General</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FEF7-40C1-A1AB-55535C90933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0957183"/>
        <c:axId val="200009487"/>
      </c:areaChart>
      <c:catAx>
        <c:axId val="8109571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009487"/>
        <c:crosses val="autoZero"/>
        <c:auto val="1"/>
        <c:lblAlgn val="ctr"/>
        <c:lblOffset val="100"/>
        <c:noMultiLvlLbl val="0"/>
      </c:catAx>
      <c:valAx>
        <c:axId val="200009487"/>
        <c:scaling>
          <c:orientation val="minMax"/>
        </c:scaling>
        <c:delete val="1"/>
        <c:axPos val="l"/>
        <c:numFmt formatCode="General" sourceLinked="1"/>
        <c:majorTickMark val="out"/>
        <c:minorTickMark val="none"/>
        <c:tickLblPos val="nextTo"/>
        <c:crossAx val="810957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Project.xlsx]Orignal Pivot Table!PivotTable6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40928680626274E-2"/>
          <c:y val="2.9070211493426295E-3"/>
          <c:w val="0.87319663167104111"/>
          <c:h val="0.65144850108767716"/>
        </c:manualLayout>
      </c:layout>
      <c:areaChart>
        <c:grouping val="standard"/>
        <c:varyColors val="0"/>
        <c:ser>
          <c:idx val="0"/>
          <c:order val="0"/>
          <c:tx>
            <c:strRef>
              <c:f>'Orignal Pivot Table'!$E$3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'Orignal Pivot Table'!$D$4:$D$33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'Orignal Pivot Table'!$E$4:$E$33</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C837-4D2F-859A-A2B4E7008B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22749648"/>
        <c:axId val="201239920"/>
      </c:areaChart>
      <c:catAx>
        <c:axId val="3227496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239920"/>
        <c:crosses val="autoZero"/>
        <c:auto val="1"/>
        <c:lblAlgn val="ctr"/>
        <c:lblOffset val="100"/>
        <c:noMultiLvlLbl val="0"/>
      </c:catAx>
      <c:valAx>
        <c:axId val="201239920"/>
        <c:scaling>
          <c:orientation val="minMax"/>
        </c:scaling>
        <c:delete val="1"/>
        <c:axPos val="l"/>
        <c:numFmt formatCode="General" sourceLinked="1"/>
        <c:majorTickMark val="out"/>
        <c:minorTickMark val="none"/>
        <c:tickLblPos val="nextTo"/>
        <c:crossAx val="322749648"/>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18" Type="http://schemas.openxmlformats.org/officeDocument/2006/relationships/image" Target="../media/image10.emf"/><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Patient Satifaction Trend'!A1"/><Relationship Id="rId17" Type="http://schemas.openxmlformats.org/officeDocument/2006/relationships/chart" Target="../charts/chart9.xml"/><Relationship Id="rId2" Type="http://schemas.openxmlformats.org/officeDocument/2006/relationships/image" Target="../media/image4.png"/><Relationship Id="rId16" Type="http://schemas.openxmlformats.org/officeDocument/2006/relationships/chart" Target="../charts/chart8.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7.xml"/><Relationship Id="rId10" Type="http://schemas.openxmlformats.org/officeDocument/2006/relationships/hyperlink" Target="#'Average Wait time trend'!A1"/><Relationship Id="rId19" Type="http://schemas.openxmlformats.org/officeDocument/2006/relationships/image" Target="../media/image11.emf"/><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5</xdr:col>
      <xdr:colOff>121920</xdr:colOff>
      <xdr:row>5</xdr:row>
      <xdr:rowOff>38100</xdr:rowOff>
    </xdr:from>
    <xdr:to>
      <xdr:col>6</xdr:col>
      <xdr:colOff>104274</xdr:colOff>
      <xdr:row>17</xdr:row>
      <xdr:rowOff>85690</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897642D7-133A-8292-C0A6-5031F469206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45998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796953</xdr:colOff>
      <xdr:row>13</xdr:row>
      <xdr:rowOff>106962</xdr:rowOff>
    </xdr:from>
    <xdr:to>
      <xdr:col>20</xdr:col>
      <xdr:colOff>167780</xdr:colOff>
      <xdr:row>16</xdr:row>
      <xdr:rowOff>174771</xdr:rowOff>
    </xdr:to>
    <xdr:graphicFrame macro="">
      <xdr:nvGraphicFramePr>
        <xdr:cNvPr id="5" name="Chart 4">
          <a:extLst>
            <a:ext uri="{FF2B5EF4-FFF2-40B4-BE49-F238E27FC236}">
              <a16:creationId xmlns:a16="http://schemas.microsoft.com/office/drawing/2014/main" id="{178F0D4E-6835-EFB9-9B2C-7F7CA0BE0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175260</xdr:colOff>
      <xdr:row>3</xdr:row>
      <xdr:rowOff>0</xdr:rowOff>
    </xdr:from>
    <xdr:to>
      <xdr:col>14</xdr:col>
      <xdr:colOff>464820</xdr:colOff>
      <xdr:row>18</xdr:row>
      <xdr:rowOff>114300</xdr:rowOff>
    </xdr:to>
    <xdr:graphicFrame macro="">
      <xdr:nvGraphicFramePr>
        <xdr:cNvPr id="2" name="Chart 1">
          <a:extLst>
            <a:ext uri="{FF2B5EF4-FFF2-40B4-BE49-F238E27FC236}">
              <a16:creationId xmlns:a16="http://schemas.microsoft.com/office/drawing/2014/main" id="{82923C69-0B57-47F5-844F-EEBF79134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0.00618</cdr:x>
      <cdr:y>0.01778</cdr:y>
    </cdr:from>
    <cdr:to>
      <cdr:x>0.07019</cdr:x>
      <cdr:y>0.20178</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71800B-A5CF-4B86-8F77-28311C58F3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25780" cy="52578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230359</xdr:colOff>
      <xdr:row>0</xdr:row>
      <xdr:rowOff>113127</xdr:rowOff>
    </xdr:from>
    <xdr:to>
      <xdr:col>7</xdr:col>
      <xdr:colOff>401497</xdr:colOff>
      <xdr:row>5</xdr:row>
      <xdr:rowOff>171236</xdr:rowOff>
    </xdr:to>
    <xdr:sp macro="" textlink="">
      <xdr:nvSpPr>
        <xdr:cNvPr id="30" name="Rectangle: Rounded Corners 29">
          <a:extLst>
            <a:ext uri="{FF2B5EF4-FFF2-40B4-BE49-F238E27FC236}">
              <a16:creationId xmlns:a16="http://schemas.microsoft.com/office/drawing/2014/main" id="{0DD428F2-DC60-4CD4-B351-2AC836CF5E5D}"/>
            </a:ext>
          </a:extLst>
        </xdr:cNvPr>
        <xdr:cNvSpPr/>
      </xdr:nvSpPr>
      <xdr:spPr>
        <a:xfrm>
          <a:off x="230359" y="113127"/>
          <a:ext cx="4426351" cy="957098"/>
        </a:xfrm>
        <a:prstGeom prst="roundRect">
          <a:avLst>
            <a:gd name="adj" fmla="val 1145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222739</xdr:colOff>
      <xdr:row>6</xdr:row>
      <xdr:rowOff>59931</xdr:rowOff>
    </xdr:from>
    <xdr:to>
      <xdr:col>2</xdr:col>
      <xdr:colOff>124128</xdr:colOff>
      <xdr:row>25</xdr:row>
      <xdr:rowOff>119865</xdr:rowOff>
    </xdr:to>
    <xdr:sp macro="" textlink="">
      <xdr:nvSpPr>
        <xdr:cNvPr id="31" name="Rectangle: Rounded Corners 30">
          <a:extLst>
            <a:ext uri="{FF2B5EF4-FFF2-40B4-BE49-F238E27FC236}">
              <a16:creationId xmlns:a16="http://schemas.microsoft.com/office/drawing/2014/main" id="{7807C638-3EFE-4758-BF5F-D13F42B23081}"/>
            </a:ext>
          </a:extLst>
        </xdr:cNvPr>
        <xdr:cNvSpPr/>
      </xdr:nvSpPr>
      <xdr:spPr>
        <a:xfrm>
          <a:off x="222739" y="1138718"/>
          <a:ext cx="1117164" cy="3476091"/>
        </a:xfrm>
        <a:prstGeom prst="roundRect">
          <a:avLst>
            <a:gd name="adj" fmla="val 923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41244</xdr:colOff>
      <xdr:row>6</xdr:row>
      <xdr:rowOff>68493</xdr:rowOff>
    </xdr:from>
    <xdr:to>
      <xdr:col>12</xdr:col>
      <xdr:colOff>159058</xdr:colOff>
      <xdr:row>16</xdr:row>
      <xdr:rowOff>27347</xdr:rowOff>
    </xdr:to>
    <xdr:sp macro="" textlink="">
      <xdr:nvSpPr>
        <xdr:cNvPr id="32" name="Rectangle: Rounded Corners 31">
          <a:extLst>
            <a:ext uri="{FF2B5EF4-FFF2-40B4-BE49-F238E27FC236}">
              <a16:creationId xmlns:a16="http://schemas.microsoft.com/office/drawing/2014/main" id="{68EB6810-B0D2-48D3-8D98-761C1444E58B}"/>
            </a:ext>
          </a:extLst>
        </xdr:cNvPr>
        <xdr:cNvSpPr/>
      </xdr:nvSpPr>
      <xdr:spPr>
        <a:xfrm>
          <a:off x="5527644" y="1186093"/>
          <a:ext cx="1946614" cy="1821521"/>
        </a:xfrm>
        <a:prstGeom prst="roundRect">
          <a:avLst>
            <a:gd name="adj" fmla="val 312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173940</xdr:colOff>
      <xdr:row>6</xdr:row>
      <xdr:rowOff>68494</xdr:rowOff>
    </xdr:from>
    <xdr:to>
      <xdr:col>8</xdr:col>
      <xdr:colOff>576598</xdr:colOff>
      <xdr:row>16</xdr:row>
      <xdr:rowOff>34058</xdr:rowOff>
    </xdr:to>
    <xdr:sp macro="" textlink="">
      <xdr:nvSpPr>
        <xdr:cNvPr id="33" name="Rectangle: Rounded Corners 32">
          <a:extLst>
            <a:ext uri="{FF2B5EF4-FFF2-40B4-BE49-F238E27FC236}">
              <a16:creationId xmlns:a16="http://schemas.microsoft.com/office/drawing/2014/main" id="{1FD51C0D-E46B-41BC-8C45-DF61C1D9CE02}"/>
            </a:ext>
          </a:extLst>
        </xdr:cNvPr>
        <xdr:cNvSpPr/>
      </xdr:nvSpPr>
      <xdr:spPr>
        <a:xfrm>
          <a:off x="1389715" y="1147281"/>
          <a:ext cx="4049984" cy="1763541"/>
        </a:xfrm>
        <a:prstGeom prst="roundRect">
          <a:avLst>
            <a:gd name="adj" fmla="val 344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181560</xdr:colOff>
      <xdr:row>16</xdr:row>
      <xdr:rowOff>68494</xdr:rowOff>
    </xdr:from>
    <xdr:to>
      <xdr:col>8</xdr:col>
      <xdr:colOff>584218</xdr:colOff>
      <xdr:row>25</xdr:row>
      <xdr:rowOff>96935</xdr:rowOff>
    </xdr:to>
    <xdr:sp macro="" textlink="">
      <xdr:nvSpPr>
        <xdr:cNvPr id="34" name="Rectangle: Rounded Corners 33">
          <a:extLst>
            <a:ext uri="{FF2B5EF4-FFF2-40B4-BE49-F238E27FC236}">
              <a16:creationId xmlns:a16="http://schemas.microsoft.com/office/drawing/2014/main" id="{A45D82B9-D749-4984-8FC4-0A0EAD9C9203}"/>
            </a:ext>
          </a:extLst>
        </xdr:cNvPr>
        <xdr:cNvSpPr/>
      </xdr:nvSpPr>
      <xdr:spPr>
        <a:xfrm>
          <a:off x="1400760" y="3048761"/>
          <a:ext cx="4060258" cy="1704841"/>
        </a:xfrm>
        <a:prstGeom prst="roundRect">
          <a:avLst>
            <a:gd name="adj" fmla="val 3447"/>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41244</xdr:colOff>
      <xdr:row>16</xdr:row>
      <xdr:rowOff>59933</xdr:rowOff>
    </xdr:from>
    <xdr:to>
      <xdr:col>12</xdr:col>
      <xdr:colOff>159058</xdr:colOff>
      <xdr:row>25</xdr:row>
      <xdr:rowOff>89389</xdr:rowOff>
    </xdr:to>
    <xdr:sp macro="" textlink="">
      <xdr:nvSpPr>
        <xdr:cNvPr id="35" name="Rectangle: Rounded Corners 34">
          <a:extLst>
            <a:ext uri="{FF2B5EF4-FFF2-40B4-BE49-F238E27FC236}">
              <a16:creationId xmlns:a16="http://schemas.microsoft.com/office/drawing/2014/main" id="{CB661DA1-515D-4DF5-B4A6-CC0F73610BA5}"/>
            </a:ext>
          </a:extLst>
        </xdr:cNvPr>
        <xdr:cNvSpPr/>
      </xdr:nvSpPr>
      <xdr:spPr>
        <a:xfrm>
          <a:off x="5527644" y="3040200"/>
          <a:ext cx="1946614" cy="1705856"/>
        </a:xfrm>
        <a:prstGeom prst="roundRect">
          <a:avLst>
            <a:gd name="adj" fmla="val 312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446489</xdr:colOff>
      <xdr:row>0</xdr:row>
      <xdr:rowOff>105508</xdr:rowOff>
    </xdr:from>
    <xdr:to>
      <xdr:col>15</xdr:col>
      <xdr:colOff>248481</xdr:colOff>
      <xdr:row>5</xdr:row>
      <xdr:rowOff>162675</xdr:rowOff>
    </xdr:to>
    <xdr:sp macro="" textlink="">
      <xdr:nvSpPr>
        <xdr:cNvPr id="36" name="Rectangle: Rounded Corners 35">
          <a:extLst>
            <a:ext uri="{FF2B5EF4-FFF2-40B4-BE49-F238E27FC236}">
              <a16:creationId xmlns:a16="http://schemas.microsoft.com/office/drawing/2014/main" id="{7DF8D5F2-2C08-4D37-A5C6-2F59B31E0B75}"/>
            </a:ext>
          </a:extLst>
        </xdr:cNvPr>
        <xdr:cNvSpPr/>
      </xdr:nvSpPr>
      <xdr:spPr>
        <a:xfrm>
          <a:off x="4713689" y="105508"/>
          <a:ext cx="4678792" cy="988500"/>
        </a:xfrm>
        <a:prstGeom prst="roundRect">
          <a:avLst>
            <a:gd name="adj" fmla="val 937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213770</xdr:colOff>
      <xdr:row>6</xdr:row>
      <xdr:rowOff>73248</xdr:rowOff>
    </xdr:from>
    <xdr:to>
      <xdr:col>15</xdr:col>
      <xdr:colOff>248069</xdr:colOff>
      <xdr:row>10</xdr:row>
      <xdr:rowOff>102741</xdr:rowOff>
    </xdr:to>
    <xdr:sp macro="" textlink="">
      <xdr:nvSpPr>
        <xdr:cNvPr id="37" name="Rectangle: Rounded Corners 36">
          <a:extLst>
            <a:ext uri="{FF2B5EF4-FFF2-40B4-BE49-F238E27FC236}">
              <a16:creationId xmlns:a16="http://schemas.microsoft.com/office/drawing/2014/main" id="{B661D965-1DB5-4809-AB95-2D5DD02CE15F}"/>
            </a:ext>
          </a:extLst>
        </xdr:cNvPr>
        <xdr:cNvSpPr/>
      </xdr:nvSpPr>
      <xdr:spPr>
        <a:xfrm>
          <a:off x="7508422" y="1152035"/>
          <a:ext cx="1857962" cy="748684"/>
        </a:xfrm>
        <a:prstGeom prst="roundRect">
          <a:avLst>
            <a:gd name="adj" fmla="val 72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212828</xdr:colOff>
      <xdr:row>10</xdr:row>
      <xdr:rowOff>145550</xdr:rowOff>
    </xdr:from>
    <xdr:to>
      <xdr:col>15</xdr:col>
      <xdr:colOff>247127</xdr:colOff>
      <xdr:row>15</xdr:row>
      <xdr:rowOff>75162</xdr:rowOff>
    </xdr:to>
    <xdr:sp macro="" textlink="">
      <xdr:nvSpPr>
        <xdr:cNvPr id="38" name="Rectangle: Rounded Corners 37">
          <a:extLst>
            <a:ext uri="{FF2B5EF4-FFF2-40B4-BE49-F238E27FC236}">
              <a16:creationId xmlns:a16="http://schemas.microsoft.com/office/drawing/2014/main" id="{743C9CD3-7433-4B18-BD4C-0DEDAB443217}"/>
            </a:ext>
          </a:extLst>
        </xdr:cNvPr>
        <xdr:cNvSpPr/>
      </xdr:nvSpPr>
      <xdr:spPr>
        <a:xfrm>
          <a:off x="7507480" y="1943528"/>
          <a:ext cx="1857962" cy="828600"/>
        </a:xfrm>
        <a:prstGeom prst="roundRect">
          <a:avLst>
            <a:gd name="adj" fmla="val 72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211886</xdr:colOff>
      <xdr:row>15</xdr:row>
      <xdr:rowOff>128431</xdr:rowOff>
    </xdr:from>
    <xdr:to>
      <xdr:col>15</xdr:col>
      <xdr:colOff>246185</xdr:colOff>
      <xdr:row>20</xdr:row>
      <xdr:rowOff>91556</xdr:rowOff>
    </xdr:to>
    <xdr:sp macro="" textlink="">
      <xdr:nvSpPr>
        <xdr:cNvPr id="39" name="Rectangle: Rounded Corners 38">
          <a:extLst>
            <a:ext uri="{FF2B5EF4-FFF2-40B4-BE49-F238E27FC236}">
              <a16:creationId xmlns:a16="http://schemas.microsoft.com/office/drawing/2014/main" id="{C5510EA0-CF3C-40D6-A6AA-BD284F16B175}"/>
            </a:ext>
          </a:extLst>
        </xdr:cNvPr>
        <xdr:cNvSpPr/>
      </xdr:nvSpPr>
      <xdr:spPr>
        <a:xfrm>
          <a:off x="7506538" y="2825397"/>
          <a:ext cx="1857962" cy="862114"/>
        </a:xfrm>
        <a:prstGeom prst="roundRect">
          <a:avLst>
            <a:gd name="adj" fmla="val 72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211886</xdr:colOff>
      <xdr:row>20</xdr:row>
      <xdr:rowOff>145551</xdr:rowOff>
    </xdr:from>
    <xdr:to>
      <xdr:col>15</xdr:col>
      <xdr:colOff>246185</xdr:colOff>
      <xdr:row>25</xdr:row>
      <xdr:rowOff>46892</xdr:rowOff>
    </xdr:to>
    <xdr:sp macro="" textlink="">
      <xdr:nvSpPr>
        <xdr:cNvPr id="40" name="Rectangle: Rounded Corners 39">
          <a:extLst>
            <a:ext uri="{FF2B5EF4-FFF2-40B4-BE49-F238E27FC236}">
              <a16:creationId xmlns:a16="http://schemas.microsoft.com/office/drawing/2014/main" id="{D2B96943-345C-47E6-9D0B-26178E13E892}"/>
            </a:ext>
          </a:extLst>
        </xdr:cNvPr>
        <xdr:cNvSpPr/>
      </xdr:nvSpPr>
      <xdr:spPr>
        <a:xfrm>
          <a:off x="7506538" y="3741506"/>
          <a:ext cx="1857962" cy="800330"/>
        </a:xfrm>
        <a:prstGeom prst="roundRect">
          <a:avLst>
            <a:gd name="adj" fmla="val 72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54616</xdr:colOff>
      <xdr:row>2</xdr:row>
      <xdr:rowOff>27799</xdr:rowOff>
    </xdr:from>
    <xdr:to>
      <xdr:col>7</xdr:col>
      <xdr:colOff>396300</xdr:colOff>
      <xdr:row>4</xdr:row>
      <xdr:rowOff>54811</xdr:rowOff>
    </xdr:to>
    <xdr:sp macro="" textlink="">
      <xdr:nvSpPr>
        <xdr:cNvPr id="41" name="TextBox 40">
          <a:extLst>
            <a:ext uri="{FF2B5EF4-FFF2-40B4-BE49-F238E27FC236}">
              <a16:creationId xmlns:a16="http://schemas.microsoft.com/office/drawing/2014/main" id="{97D8D9EC-29F2-49E7-AB97-92D1BD7B3311}"/>
            </a:ext>
          </a:extLst>
        </xdr:cNvPr>
        <xdr:cNvSpPr txBox="1"/>
      </xdr:nvSpPr>
      <xdr:spPr>
        <a:xfrm>
          <a:off x="1270391" y="387395"/>
          <a:ext cx="3381122" cy="386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700" b="1"/>
            <a:t>Hospital Emergency </a:t>
          </a:r>
          <a:r>
            <a:rPr lang="en-IN" sz="1600" b="1"/>
            <a:t>Room</a:t>
          </a:r>
          <a:r>
            <a:rPr lang="en-IN" sz="1700" b="1"/>
            <a:t> Dashboard </a:t>
          </a:r>
        </a:p>
      </xdr:txBody>
    </xdr:sp>
    <xdr:clientData/>
  </xdr:twoCellAnchor>
  <xdr:twoCellAnchor editAs="oneCell">
    <xdr:from>
      <xdr:col>0</xdr:col>
      <xdr:colOff>326857</xdr:colOff>
      <xdr:row>0</xdr:row>
      <xdr:rowOff>176338</xdr:rowOff>
    </xdr:from>
    <xdr:to>
      <xdr:col>2</xdr:col>
      <xdr:colOff>59016</xdr:colOff>
      <xdr:row>5</xdr:row>
      <xdr:rowOff>102646</xdr:rowOff>
    </xdr:to>
    <xdr:pic>
      <xdr:nvPicPr>
        <xdr:cNvPr id="42" name="Picture 41">
          <a:extLst>
            <a:ext uri="{FF2B5EF4-FFF2-40B4-BE49-F238E27FC236}">
              <a16:creationId xmlns:a16="http://schemas.microsoft.com/office/drawing/2014/main" id="{1EACAB70-1F2D-4BE4-92A0-EBE8BA55EC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857" y="176338"/>
          <a:ext cx="951359" cy="857641"/>
        </a:xfrm>
        <a:prstGeom prst="rect">
          <a:avLst/>
        </a:prstGeom>
      </xdr:spPr>
    </xdr:pic>
    <xdr:clientData/>
  </xdr:twoCellAnchor>
  <xdr:twoCellAnchor>
    <xdr:from>
      <xdr:col>3</xdr:col>
      <xdr:colOff>368842</xdr:colOff>
      <xdr:row>3</xdr:row>
      <xdr:rowOff>153489</xdr:rowOff>
    </xdr:from>
    <xdr:to>
      <xdr:col>5</xdr:col>
      <xdr:colOff>309189</xdr:colOff>
      <xdr:row>5</xdr:row>
      <xdr:rowOff>81509</xdr:rowOff>
    </xdr:to>
    <xdr:sp macro="" textlink="">
      <xdr:nvSpPr>
        <xdr:cNvPr id="43" name="TextBox 42">
          <a:extLst>
            <a:ext uri="{FF2B5EF4-FFF2-40B4-BE49-F238E27FC236}">
              <a16:creationId xmlns:a16="http://schemas.microsoft.com/office/drawing/2014/main" id="{BF8576BC-23A6-4A0D-8946-5ECDBD7291F6}"/>
            </a:ext>
          </a:extLst>
        </xdr:cNvPr>
        <xdr:cNvSpPr txBox="1"/>
      </xdr:nvSpPr>
      <xdr:spPr>
        <a:xfrm>
          <a:off x="2192505" y="692882"/>
          <a:ext cx="1156122" cy="287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a:latin typeface="Dubai" panose="020B0503030403030204" pitchFamily="34" charset="-78"/>
              <a:cs typeface="Dubai" panose="020B0503030403030204" pitchFamily="34" charset="-78"/>
            </a:rPr>
            <a:t>Monthly</a:t>
          </a:r>
          <a:r>
            <a:rPr lang="en-IN" sz="1400" b="0" baseline="0">
              <a:latin typeface="Dubai" panose="020B0503030403030204" pitchFamily="34" charset="-78"/>
              <a:cs typeface="Dubai" panose="020B0503030403030204" pitchFamily="34" charset="-78"/>
            </a:rPr>
            <a:t> Report </a:t>
          </a:r>
          <a:endParaRPr lang="en-IN" sz="1400" b="0">
            <a:latin typeface="Dubai" panose="020B0503030403030204" pitchFamily="34" charset="-78"/>
            <a:cs typeface="Dubai" panose="020B0503030403030204" pitchFamily="34" charset="-78"/>
          </a:endParaRPr>
        </a:p>
      </xdr:txBody>
    </xdr:sp>
    <xdr:clientData/>
  </xdr:twoCellAnchor>
  <xdr:twoCellAnchor>
    <xdr:from>
      <xdr:col>13</xdr:col>
      <xdr:colOff>82730</xdr:colOff>
      <xdr:row>6</xdr:row>
      <xdr:rowOff>96152</xdr:rowOff>
    </xdr:from>
    <xdr:to>
      <xdr:col>15</xdr:col>
      <xdr:colOff>23077</xdr:colOff>
      <xdr:row>8</xdr:row>
      <xdr:rowOff>24173</xdr:rowOff>
    </xdr:to>
    <xdr:sp macro="" textlink="">
      <xdr:nvSpPr>
        <xdr:cNvPr id="44" name="TextBox 43">
          <a:extLst>
            <a:ext uri="{FF2B5EF4-FFF2-40B4-BE49-F238E27FC236}">
              <a16:creationId xmlns:a16="http://schemas.microsoft.com/office/drawing/2014/main" id="{613B7EC3-EDAC-4892-B488-F14A074EAD76}"/>
            </a:ext>
          </a:extLst>
        </xdr:cNvPr>
        <xdr:cNvSpPr txBox="1"/>
      </xdr:nvSpPr>
      <xdr:spPr>
        <a:xfrm>
          <a:off x="8007530" y="1221567"/>
          <a:ext cx="1159547" cy="303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400" b="0">
            <a:latin typeface="Dubai" panose="020B0503030403030204" pitchFamily="34" charset="-78"/>
            <a:cs typeface="Dubai" panose="020B0503030403030204" pitchFamily="34" charset="-78"/>
          </a:endParaRPr>
        </a:p>
      </xdr:txBody>
    </xdr:sp>
    <xdr:clientData/>
  </xdr:twoCellAnchor>
  <xdr:twoCellAnchor>
    <xdr:from>
      <xdr:col>13</xdr:col>
      <xdr:colOff>8264</xdr:colOff>
      <xdr:row>12</xdr:row>
      <xdr:rowOff>100528</xdr:rowOff>
    </xdr:from>
    <xdr:to>
      <xdr:col>14</xdr:col>
      <xdr:colOff>545915</xdr:colOff>
      <xdr:row>14</xdr:row>
      <xdr:rowOff>28550</xdr:rowOff>
    </xdr:to>
    <xdr:sp macro="" textlink="">
      <xdr:nvSpPr>
        <xdr:cNvPr id="45" name="TextBox 44">
          <a:extLst>
            <a:ext uri="{FF2B5EF4-FFF2-40B4-BE49-F238E27FC236}">
              <a16:creationId xmlns:a16="http://schemas.microsoft.com/office/drawing/2014/main" id="{8D1B40B4-AA6C-400D-AB48-D7D4F1205B2A}"/>
            </a:ext>
          </a:extLst>
        </xdr:cNvPr>
        <xdr:cNvSpPr txBox="1"/>
      </xdr:nvSpPr>
      <xdr:spPr>
        <a:xfrm>
          <a:off x="7910803" y="2258101"/>
          <a:ext cx="1145539" cy="287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baseline="0">
              <a:latin typeface="Dubai" panose="020B0503030403030204" pitchFamily="34" charset="-78"/>
              <a:cs typeface="Dubai" panose="020B0503030403030204" pitchFamily="34" charset="-78"/>
            </a:rPr>
            <a:t> No. of </a:t>
          </a:r>
          <a:r>
            <a:rPr lang="en-IN" sz="1200" b="0" baseline="0">
              <a:latin typeface="Dubai" panose="020B0503030403030204" pitchFamily="34" charset="-78"/>
              <a:cs typeface="Dubai" panose="020B0503030403030204" pitchFamily="34" charset="-78"/>
            </a:rPr>
            <a:t>Patient</a:t>
          </a:r>
          <a:endParaRPr lang="en-IN" sz="1200" b="0">
            <a:latin typeface="Dubai" panose="020B0503030403030204" pitchFamily="34" charset="-78"/>
            <a:cs typeface="Dubai" panose="020B0503030403030204" pitchFamily="34" charset="-78"/>
          </a:endParaRPr>
        </a:p>
      </xdr:txBody>
    </xdr:sp>
    <xdr:clientData/>
  </xdr:twoCellAnchor>
  <xdr:twoCellAnchor>
    <xdr:from>
      <xdr:col>13</xdr:col>
      <xdr:colOff>317993</xdr:colOff>
      <xdr:row>11</xdr:row>
      <xdr:rowOff>11976</xdr:rowOff>
    </xdr:from>
    <xdr:to>
      <xdr:col>14</xdr:col>
      <xdr:colOff>220133</xdr:colOff>
      <xdr:row>12</xdr:row>
      <xdr:rowOff>127565</xdr:rowOff>
    </xdr:to>
    <xdr:sp macro="" textlink="'Orignal Pivot Table'!B4">
      <xdr:nvSpPr>
        <xdr:cNvPr id="46" name="TextBox 45">
          <a:extLst>
            <a:ext uri="{FF2B5EF4-FFF2-40B4-BE49-F238E27FC236}">
              <a16:creationId xmlns:a16="http://schemas.microsoft.com/office/drawing/2014/main" id="{65B60030-2785-4286-AC2B-F4E0279EBA8A}"/>
            </a:ext>
          </a:extLst>
        </xdr:cNvPr>
        <xdr:cNvSpPr txBox="1"/>
      </xdr:nvSpPr>
      <xdr:spPr>
        <a:xfrm>
          <a:off x="8242793" y="2060909"/>
          <a:ext cx="511740" cy="30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616A1EC-FFCC-44C9-88A8-CE919557D776}" type="TxLink">
            <a:rPr lang="en-US" sz="2000" b="1" i="0" u="none" strike="noStrike" baseline="0">
              <a:solidFill>
                <a:srgbClr val="000000"/>
              </a:solidFill>
              <a:latin typeface="Calibri"/>
              <a:ea typeface="Calibri"/>
              <a:cs typeface="Calibri"/>
            </a:rPr>
            <a:pPr/>
            <a:t>431</a:t>
          </a:fld>
          <a:endParaRPr lang="en-IN" sz="2000" b="1">
            <a:latin typeface="Dubai" panose="020B0503030403030204" pitchFamily="34" charset="-78"/>
            <a:cs typeface="Dubai" panose="020B0503030403030204" pitchFamily="34" charset="-78"/>
          </a:endParaRPr>
        </a:p>
      </xdr:txBody>
    </xdr:sp>
    <xdr:clientData/>
  </xdr:twoCellAnchor>
  <xdr:twoCellAnchor>
    <xdr:from>
      <xdr:col>12</xdr:col>
      <xdr:colOff>478973</xdr:colOff>
      <xdr:row>17</xdr:row>
      <xdr:rowOff>124309</xdr:rowOff>
    </xdr:from>
    <xdr:to>
      <xdr:col>15</xdr:col>
      <xdr:colOff>182662</xdr:colOff>
      <xdr:row>19</xdr:row>
      <xdr:rowOff>45861</xdr:rowOff>
    </xdr:to>
    <xdr:sp macro="" textlink="">
      <xdr:nvSpPr>
        <xdr:cNvPr id="47" name="TextBox 46">
          <a:extLst>
            <a:ext uri="{FF2B5EF4-FFF2-40B4-BE49-F238E27FC236}">
              <a16:creationId xmlns:a16="http://schemas.microsoft.com/office/drawing/2014/main" id="{A80D75B3-8BCA-4159-B8E8-08FC1CE95909}"/>
            </a:ext>
          </a:extLst>
        </xdr:cNvPr>
        <xdr:cNvSpPr txBox="1"/>
      </xdr:nvSpPr>
      <xdr:spPr>
        <a:xfrm>
          <a:off x="7794173" y="3290842"/>
          <a:ext cx="1532489" cy="294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baseline="0">
              <a:latin typeface="Dubai" panose="020B0503030403030204" pitchFamily="34" charset="-78"/>
              <a:cs typeface="Dubai" panose="020B0503030403030204" pitchFamily="34" charset="-78"/>
            </a:rPr>
            <a:t>Average Wait Time</a:t>
          </a:r>
          <a:r>
            <a:rPr lang="en-IN" sz="1400" b="0" baseline="0">
              <a:latin typeface="Dubai" panose="020B0503030403030204" pitchFamily="34" charset="-78"/>
              <a:cs typeface="Dubai" panose="020B0503030403030204" pitchFamily="34" charset="-78"/>
            </a:rPr>
            <a:t> </a:t>
          </a:r>
          <a:endParaRPr lang="en-IN" sz="1400" b="0">
            <a:latin typeface="Dubai" panose="020B0503030403030204" pitchFamily="34" charset="-78"/>
            <a:cs typeface="Dubai" panose="020B0503030403030204" pitchFamily="34" charset="-78"/>
          </a:endParaRPr>
        </a:p>
      </xdr:txBody>
    </xdr:sp>
    <xdr:clientData/>
  </xdr:twoCellAnchor>
  <xdr:twoCellAnchor>
    <xdr:from>
      <xdr:col>13</xdr:col>
      <xdr:colOff>235748</xdr:colOff>
      <xdr:row>16</xdr:row>
      <xdr:rowOff>36785</xdr:rowOff>
    </xdr:from>
    <xdr:to>
      <xdr:col>14</xdr:col>
      <xdr:colOff>228600</xdr:colOff>
      <xdr:row>17</xdr:row>
      <xdr:rowOff>151075</xdr:rowOff>
    </xdr:to>
    <xdr:sp macro="" textlink="'Orignal Pivot Table'!B8">
      <xdr:nvSpPr>
        <xdr:cNvPr id="48" name="TextBox 47">
          <a:extLst>
            <a:ext uri="{FF2B5EF4-FFF2-40B4-BE49-F238E27FC236}">
              <a16:creationId xmlns:a16="http://schemas.microsoft.com/office/drawing/2014/main" id="{CE456C93-948E-4089-BD35-74807B510A88}"/>
            </a:ext>
          </a:extLst>
        </xdr:cNvPr>
        <xdr:cNvSpPr txBox="1"/>
      </xdr:nvSpPr>
      <xdr:spPr>
        <a:xfrm>
          <a:off x="8160548" y="3017052"/>
          <a:ext cx="602452" cy="300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CE3CB69-4252-45EF-85F4-EC3E55D14BDB}" type="TxLink">
            <a:rPr lang="en-US" sz="1800" b="1" i="0" u="none" strike="noStrike" baseline="0">
              <a:solidFill>
                <a:srgbClr val="000000"/>
              </a:solidFill>
              <a:latin typeface="Calibri"/>
              <a:ea typeface="Calibri"/>
              <a:cs typeface="Calibri"/>
            </a:rPr>
            <a:pPr/>
            <a:t>36.67</a:t>
          </a:fld>
          <a:endParaRPr lang="en-IN" sz="1800" b="1">
            <a:latin typeface="Dubai" panose="020B0503030403030204" pitchFamily="34" charset="-78"/>
            <a:cs typeface="Dubai" panose="020B0503030403030204" pitchFamily="34" charset="-78"/>
          </a:endParaRPr>
        </a:p>
      </xdr:txBody>
    </xdr:sp>
    <xdr:clientData/>
  </xdr:twoCellAnchor>
  <xdr:twoCellAnchor>
    <xdr:from>
      <xdr:col>12</xdr:col>
      <xdr:colOff>345046</xdr:colOff>
      <xdr:row>22</xdr:row>
      <xdr:rowOff>81931</xdr:rowOff>
    </xdr:from>
    <xdr:to>
      <xdr:col>15</xdr:col>
      <xdr:colOff>211318</xdr:colOff>
      <xdr:row>24</xdr:row>
      <xdr:rowOff>11255</xdr:rowOff>
    </xdr:to>
    <xdr:sp macro="" textlink="">
      <xdr:nvSpPr>
        <xdr:cNvPr id="49" name="TextBox 48">
          <a:extLst>
            <a:ext uri="{FF2B5EF4-FFF2-40B4-BE49-F238E27FC236}">
              <a16:creationId xmlns:a16="http://schemas.microsoft.com/office/drawing/2014/main" id="{CDFA3192-16B0-4328-8266-03876E91ED57}"/>
            </a:ext>
          </a:extLst>
        </xdr:cNvPr>
        <xdr:cNvSpPr txBox="1"/>
      </xdr:nvSpPr>
      <xdr:spPr>
        <a:xfrm>
          <a:off x="7660246" y="4179798"/>
          <a:ext cx="1695072" cy="30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baseline="0">
              <a:latin typeface="Dubai" panose="020B0503030403030204" pitchFamily="34" charset="-78"/>
              <a:cs typeface="Dubai" panose="020B0503030403030204" pitchFamily="34" charset="-78"/>
            </a:rPr>
            <a:t>Patient Satisfaction Score</a:t>
          </a:r>
          <a:r>
            <a:rPr lang="en-IN" sz="1400" b="0" baseline="0">
              <a:latin typeface="Dubai" panose="020B0503030403030204" pitchFamily="34" charset="-78"/>
              <a:cs typeface="Dubai" panose="020B0503030403030204" pitchFamily="34" charset="-78"/>
            </a:rPr>
            <a:t> </a:t>
          </a:r>
          <a:endParaRPr lang="en-IN" sz="1400" b="0">
            <a:latin typeface="Dubai" panose="020B0503030403030204" pitchFamily="34" charset="-78"/>
            <a:cs typeface="Dubai" panose="020B0503030403030204" pitchFamily="34" charset="-78"/>
          </a:endParaRPr>
        </a:p>
      </xdr:txBody>
    </xdr:sp>
    <xdr:clientData/>
  </xdr:twoCellAnchor>
  <xdr:twoCellAnchor>
    <xdr:from>
      <xdr:col>13</xdr:col>
      <xdr:colOff>283469</xdr:colOff>
      <xdr:row>21</xdr:row>
      <xdr:rowOff>8573</xdr:rowOff>
    </xdr:from>
    <xdr:to>
      <xdr:col>14</xdr:col>
      <xdr:colOff>143932</xdr:colOff>
      <xdr:row>22</xdr:row>
      <xdr:rowOff>124164</xdr:rowOff>
    </xdr:to>
    <xdr:sp macro="" textlink="'Orignal Pivot Table'!B13">
      <xdr:nvSpPr>
        <xdr:cNvPr id="50" name="TextBox 49">
          <a:extLst>
            <a:ext uri="{FF2B5EF4-FFF2-40B4-BE49-F238E27FC236}">
              <a16:creationId xmlns:a16="http://schemas.microsoft.com/office/drawing/2014/main" id="{D2A3EF22-AFC9-4DA7-9C59-801EFB4B242E}"/>
            </a:ext>
          </a:extLst>
        </xdr:cNvPr>
        <xdr:cNvSpPr txBox="1"/>
      </xdr:nvSpPr>
      <xdr:spPr>
        <a:xfrm>
          <a:off x="8208269" y="3920173"/>
          <a:ext cx="470063" cy="301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83A7D57-7115-444B-87C6-D189480A7DF3}" type="TxLink">
            <a:rPr lang="en-US" sz="1800" b="1" i="0" u="none" strike="noStrike" baseline="0">
              <a:solidFill>
                <a:srgbClr val="000000"/>
              </a:solidFill>
              <a:latin typeface="Calibri"/>
              <a:ea typeface="Calibri"/>
              <a:cs typeface="Calibri"/>
            </a:rPr>
            <a:pPr/>
            <a:t>4.72</a:t>
          </a:fld>
          <a:endParaRPr lang="en-IN" sz="1800" b="1">
            <a:latin typeface="Dubai" panose="020B0503030403030204" pitchFamily="34" charset="-78"/>
            <a:cs typeface="Dubai" panose="020B0503030403030204" pitchFamily="34" charset="-78"/>
          </a:endParaRPr>
        </a:p>
      </xdr:txBody>
    </xdr:sp>
    <xdr:clientData/>
  </xdr:twoCellAnchor>
  <xdr:twoCellAnchor editAs="oneCell">
    <xdr:from>
      <xdr:col>14</xdr:col>
      <xdr:colOff>349946</xdr:colOff>
      <xdr:row>10</xdr:row>
      <xdr:rowOff>139458</xdr:rowOff>
    </xdr:from>
    <xdr:to>
      <xdr:col>15</xdr:col>
      <xdr:colOff>201982</xdr:colOff>
      <xdr:row>13</xdr:row>
      <xdr:rowOff>42809</xdr:rowOff>
    </xdr:to>
    <xdr:pic>
      <xdr:nvPicPr>
        <xdr:cNvPr id="51" name="Graphic 50" descr="Users with solid fill">
          <a:extLst>
            <a:ext uri="{FF2B5EF4-FFF2-40B4-BE49-F238E27FC236}">
              <a16:creationId xmlns:a16="http://schemas.microsoft.com/office/drawing/2014/main" id="{492C6E1B-5B07-4A76-B45B-28D5CD609C5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860373" y="1937436"/>
          <a:ext cx="459924" cy="442744"/>
        </a:xfrm>
        <a:prstGeom prst="rect">
          <a:avLst/>
        </a:prstGeom>
      </xdr:spPr>
    </xdr:pic>
    <xdr:clientData/>
  </xdr:twoCellAnchor>
  <xdr:twoCellAnchor editAs="oneCell">
    <xdr:from>
      <xdr:col>14</xdr:col>
      <xdr:colOff>372533</xdr:colOff>
      <xdr:row>15</xdr:row>
      <xdr:rowOff>131532</xdr:rowOff>
    </xdr:from>
    <xdr:to>
      <xdr:col>15</xdr:col>
      <xdr:colOff>150655</xdr:colOff>
      <xdr:row>17</xdr:row>
      <xdr:rowOff>138839</xdr:rowOff>
    </xdr:to>
    <xdr:pic>
      <xdr:nvPicPr>
        <xdr:cNvPr id="52" name="Graphic 51" descr="Stopwatch with solid fill">
          <a:extLst>
            <a:ext uri="{FF2B5EF4-FFF2-40B4-BE49-F238E27FC236}">
              <a16:creationId xmlns:a16="http://schemas.microsoft.com/office/drawing/2014/main" id="{D8C2E8A4-2C34-48C9-A972-B9ED8E5D1A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906933" y="2925532"/>
          <a:ext cx="387722" cy="379840"/>
        </a:xfrm>
        <a:prstGeom prst="rect">
          <a:avLst/>
        </a:prstGeom>
      </xdr:spPr>
    </xdr:pic>
    <xdr:clientData/>
  </xdr:twoCellAnchor>
  <xdr:twoCellAnchor editAs="oneCell">
    <xdr:from>
      <xdr:col>14</xdr:col>
      <xdr:colOff>416680</xdr:colOff>
      <xdr:row>20</xdr:row>
      <xdr:rowOff>118841</xdr:rowOff>
    </xdr:from>
    <xdr:to>
      <xdr:col>15</xdr:col>
      <xdr:colOff>171289</xdr:colOff>
      <xdr:row>22</xdr:row>
      <xdr:rowOff>110067</xdr:rowOff>
    </xdr:to>
    <xdr:pic>
      <xdr:nvPicPr>
        <xdr:cNvPr id="53" name="Graphic 52" descr="Star with solid fill">
          <a:extLst>
            <a:ext uri="{FF2B5EF4-FFF2-40B4-BE49-F238E27FC236}">
              <a16:creationId xmlns:a16="http://schemas.microsoft.com/office/drawing/2014/main" id="{DC2E411A-C865-4DEF-A2E5-1C95F481C3A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951080" y="3844174"/>
          <a:ext cx="364209" cy="363760"/>
        </a:xfrm>
        <a:prstGeom prst="rect">
          <a:avLst/>
        </a:prstGeom>
      </xdr:spPr>
    </xdr:pic>
    <xdr:clientData/>
  </xdr:twoCellAnchor>
  <xdr:twoCellAnchor editAs="oneCell">
    <xdr:from>
      <xdr:col>0</xdr:col>
      <xdr:colOff>248292</xdr:colOff>
      <xdr:row>6</xdr:row>
      <xdr:rowOff>162676</xdr:rowOff>
    </xdr:from>
    <xdr:to>
      <xdr:col>2</xdr:col>
      <xdr:colOff>128427</xdr:colOff>
      <xdr:row>24</xdr:row>
      <xdr:rowOff>171236</xdr:rowOff>
    </xdr:to>
    <mc:AlternateContent xmlns:mc="http://schemas.openxmlformats.org/markup-compatibility/2006" xmlns:a14="http://schemas.microsoft.com/office/drawing/2010/main">
      <mc:Choice Requires="a14">
        <xdr:graphicFrame macro="">
          <xdr:nvGraphicFramePr>
            <xdr:cNvPr id="54" name="Date (Month) 1">
              <a:extLst>
                <a:ext uri="{FF2B5EF4-FFF2-40B4-BE49-F238E27FC236}">
                  <a16:creationId xmlns:a16="http://schemas.microsoft.com/office/drawing/2014/main" id="{A3C22202-5733-4B96-9354-BD92418CC3E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48292" y="1280276"/>
              <a:ext cx="1099335" cy="336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237067</xdr:colOff>
      <xdr:row>10</xdr:row>
      <xdr:rowOff>152401</xdr:rowOff>
    </xdr:from>
    <xdr:to>
      <xdr:col>15</xdr:col>
      <xdr:colOff>482599</xdr:colOff>
      <xdr:row>15</xdr:row>
      <xdr:rowOff>59266</xdr:rowOff>
    </xdr:to>
    <xdr:graphicFrame macro="">
      <xdr:nvGraphicFramePr>
        <xdr:cNvPr id="57" name="Chart 56">
          <a:hlinkClick xmlns:r="http://schemas.openxmlformats.org/officeDocument/2006/relationships" r:id="rId8"/>
          <a:extLst>
            <a:ext uri="{FF2B5EF4-FFF2-40B4-BE49-F238E27FC236}">
              <a16:creationId xmlns:a16="http://schemas.microsoft.com/office/drawing/2014/main" id="{BA57BA37-5777-4932-A986-7AFE99D59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254001</xdr:colOff>
      <xdr:row>15</xdr:row>
      <xdr:rowOff>152400</xdr:rowOff>
    </xdr:from>
    <xdr:to>
      <xdr:col>15</xdr:col>
      <xdr:colOff>203200</xdr:colOff>
      <xdr:row>20</xdr:row>
      <xdr:rowOff>101599</xdr:rowOff>
    </xdr:to>
    <xdr:graphicFrame macro="">
      <xdr:nvGraphicFramePr>
        <xdr:cNvPr id="2" name="Chart 1">
          <a:hlinkClick xmlns:r="http://schemas.openxmlformats.org/officeDocument/2006/relationships" r:id="rId10"/>
          <a:extLst>
            <a:ext uri="{FF2B5EF4-FFF2-40B4-BE49-F238E27FC236}">
              <a16:creationId xmlns:a16="http://schemas.microsoft.com/office/drawing/2014/main" id="{84A3CA55-D570-466C-96EF-BE51AF398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558800</xdr:colOff>
      <xdr:row>22</xdr:row>
      <xdr:rowOff>118533</xdr:rowOff>
    </xdr:from>
    <xdr:to>
      <xdr:col>15</xdr:col>
      <xdr:colOff>220133</xdr:colOff>
      <xdr:row>25</xdr:row>
      <xdr:rowOff>33866</xdr:rowOff>
    </xdr:to>
    <xdr:graphicFrame macro="">
      <xdr:nvGraphicFramePr>
        <xdr:cNvPr id="3" name="Chart 2">
          <a:hlinkClick xmlns:r="http://schemas.openxmlformats.org/officeDocument/2006/relationships" r:id="rId12"/>
          <a:extLst>
            <a:ext uri="{FF2B5EF4-FFF2-40B4-BE49-F238E27FC236}">
              <a16:creationId xmlns:a16="http://schemas.microsoft.com/office/drawing/2014/main" id="{928EE84E-CAD4-4F36-8476-C25749952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211667</xdr:colOff>
      <xdr:row>6</xdr:row>
      <xdr:rowOff>67733</xdr:rowOff>
    </xdr:from>
    <xdr:to>
      <xdr:col>9</xdr:col>
      <xdr:colOff>118533</xdr:colOff>
      <xdr:row>16</xdr:row>
      <xdr:rowOff>101599</xdr:rowOff>
    </xdr:to>
    <xdr:graphicFrame macro="">
      <xdr:nvGraphicFramePr>
        <xdr:cNvPr id="20" name="Chart 19">
          <a:extLst>
            <a:ext uri="{FF2B5EF4-FFF2-40B4-BE49-F238E27FC236}">
              <a16:creationId xmlns:a16="http://schemas.microsoft.com/office/drawing/2014/main" id="{D9779CEC-649A-4394-8FCE-90425F715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609599</xdr:colOff>
      <xdr:row>15</xdr:row>
      <xdr:rowOff>42334</xdr:rowOff>
    </xdr:from>
    <xdr:to>
      <xdr:col>7</xdr:col>
      <xdr:colOff>101599</xdr:colOff>
      <xdr:row>16</xdr:row>
      <xdr:rowOff>16933</xdr:rowOff>
    </xdr:to>
    <xdr:sp macro="" textlink="">
      <xdr:nvSpPr>
        <xdr:cNvPr id="21" name="Rectangle 20">
          <a:extLst>
            <a:ext uri="{FF2B5EF4-FFF2-40B4-BE49-F238E27FC236}">
              <a16:creationId xmlns:a16="http://schemas.microsoft.com/office/drawing/2014/main" id="{87543444-F0D9-48E5-D526-3C7BCFA9FCFE}"/>
            </a:ext>
          </a:extLst>
        </xdr:cNvPr>
        <xdr:cNvSpPr/>
      </xdr:nvSpPr>
      <xdr:spPr>
        <a:xfrm>
          <a:off x="2438399" y="2836334"/>
          <a:ext cx="1930400" cy="1608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NO. of Patient by Age Group</a:t>
          </a:r>
        </a:p>
      </xdr:txBody>
    </xdr:sp>
    <xdr:clientData/>
  </xdr:twoCellAnchor>
  <xdr:twoCellAnchor>
    <xdr:from>
      <xdr:col>9</xdr:col>
      <xdr:colOff>8468</xdr:colOff>
      <xdr:row>6</xdr:row>
      <xdr:rowOff>76202</xdr:rowOff>
    </xdr:from>
    <xdr:to>
      <xdr:col>12</xdr:col>
      <xdr:colOff>211668</xdr:colOff>
      <xdr:row>16</xdr:row>
      <xdr:rowOff>16934</xdr:rowOff>
    </xdr:to>
    <xdr:graphicFrame macro="">
      <xdr:nvGraphicFramePr>
        <xdr:cNvPr id="23" name="Chart 22">
          <a:extLst>
            <a:ext uri="{FF2B5EF4-FFF2-40B4-BE49-F238E27FC236}">
              <a16:creationId xmlns:a16="http://schemas.microsoft.com/office/drawing/2014/main" id="{12D8D74B-A2D5-4EF1-84FB-A17215E1F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228599</xdr:colOff>
      <xdr:row>20</xdr:row>
      <xdr:rowOff>8468</xdr:rowOff>
    </xdr:from>
    <xdr:to>
      <xdr:col>8</xdr:col>
      <xdr:colOff>211667</xdr:colOff>
      <xdr:row>22</xdr:row>
      <xdr:rowOff>50800</xdr:rowOff>
    </xdr:to>
    <xdr:sp macro="" textlink="">
      <xdr:nvSpPr>
        <xdr:cNvPr id="26" name="Rectangle 25">
          <a:extLst>
            <a:ext uri="{FF2B5EF4-FFF2-40B4-BE49-F238E27FC236}">
              <a16:creationId xmlns:a16="http://schemas.microsoft.com/office/drawing/2014/main" id="{6E8308F2-2CA7-4203-88DD-DF9E095FCB72}"/>
            </a:ext>
          </a:extLst>
        </xdr:cNvPr>
        <xdr:cNvSpPr/>
      </xdr:nvSpPr>
      <xdr:spPr>
        <a:xfrm>
          <a:off x="2666999" y="3733801"/>
          <a:ext cx="2421468" cy="4148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tx1"/>
            </a:solidFill>
          </a:endParaRPr>
        </a:p>
      </xdr:txBody>
    </xdr:sp>
    <xdr:clientData/>
  </xdr:twoCellAnchor>
  <xdr:twoCellAnchor>
    <xdr:from>
      <xdr:col>9</xdr:col>
      <xdr:colOff>152400</xdr:colOff>
      <xdr:row>24</xdr:row>
      <xdr:rowOff>67733</xdr:rowOff>
    </xdr:from>
    <xdr:to>
      <xdr:col>11</xdr:col>
      <xdr:colOff>601133</xdr:colOff>
      <xdr:row>25</xdr:row>
      <xdr:rowOff>118533</xdr:rowOff>
    </xdr:to>
    <xdr:sp macro="" textlink="">
      <xdr:nvSpPr>
        <xdr:cNvPr id="28" name="Rectangle 27">
          <a:extLst>
            <a:ext uri="{FF2B5EF4-FFF2-40B4-BE49-F238E27FC236}">
              <a16:creationId xmlns:a16="http://schemas.microsoft.com/office/drawing/2014/main" id="{79CA1F75-1FE0-06F0-AB73-87E35A1A7B59}"/>
            </a:ext>
          </a:extLst>
        </xdr:cNvPr>
        <xdr:cNvSpPr/>
      </xdr:nvSpPr>
      <xdr:spPr>
        <a:xfrm>
          <a:off x="5638800" y="4538133"/>
          <a:ext cx="1667933" cy="2370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Pattient</a:t>
          </a:r>
          <a:r>
            <a:rPr lang="en-IN" sz="1100" baseline="0">
              <a:solidFill>
                <a:schemeClr val="tx1"/>
              </a:solidFill>
            </a:rPr>
            <a:t> Gender</a:t>
          </a:r>
          <a:endParaRPr lang="en-IN" sz="1100">
            <a:solidFill>
              <a:schemeClr val="tx1"/>
            </a:solidFill>
          </a:endParaRPr>
        </a:p>
      </xdr:txBody>
    </xdr:sp>
    <xdr:clientData/>
  </xdr:twoCellAnchor>
  <xdr:twoCellAnchor>
    <xdr:from>
      <xdr:col>9</xdr:col>
      <xdr:colOff>152400</xdr:colOff>
      <xdr:row>14</xdr:row>
      <xdr:rowOff>169334</xdr:rowOff>
    </xdr:from>
    <xdr:to>
      <xdr:col>11</xdr:col>
      <xdr:colOff>601133</xdr:colOff>
      <xdr:row>16</xdr:row>
      <xdr:rowOff>33867</xdr:rowOff>
    </xdr:to>
    <xdr:sp macro="" textlink="">
      <xdr:nvSpPr>
        <xdr:cNvPr id="29" name="Rectangle 28">
          <a:extLst>
            <a:ext uri="{FF2B5EF4-FFF2-40B4-BE49-F238E27FC236}">
              <a16:creationId xmlns:a16="http://schemas.microsoft.com/office/drawing/2014/main" id="{562D0FC9-B4A4-4AF8-8453-668C870B34AC}"/>
            </a:ext>
          </a:extLst>
        </xdr:cNvPr>
        <xdr:cNvSpPr/>
      </xdr:nvSpPr>
      <xdr:spPr>
        <a:xfrm>
          <a:off x="5638800" y="2777067"/>
          <a:ext cx="1667933" cy="2370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Pattient</a:t>
          </a:r>
          <a:r>
            <a:rPr lang="en-IN" sz="1100" baseline="0">
              <a:solidFill>
                <a:schemeClr val="tx1"/>
              </a:solidFill>
            </a:rPr>
            <a:t> attend status</a:t>
          </a:r>
          <a:endParaRPr lang="en-IN" sz="1100">
            <a:solidFill>
              <a:schemeClr val="tx1"/>
            </a:solidFill>
          </a:endParaRPr>
        </a:p>
      </xdr:txBody>
    </xdr:sp>
    <xdr:clientData/>
  </xdr:twoCellAnchor>
  <xdr:twoCellAnchor>
    <xdr:from>
      <xdr:col>8</xdr:col>
      <xdr:colOff>406400</xdr:colOff>
      <xdr:row>16</xdr:row>
      <xdr:rowOff>16933</xdr:rowOff>
    </xdr:from>
    <xdr:to>
      <xdr:col>12</xdr:col>
      <xdr:colOff>338666</xdr:colOff>
      <xdr:row>25</xdr:row>
      <xdr:rowOff>110066</xdr:rowOff>
    </xdr:to>
    <xdr:graphicFrame macro="">
      <xdr:nvGraphicFramePr>
        <xdr:cNvPr id="61" name="Chart 60">
          <a:extLst>
            <a:ext uri="{FF2B5EF4-FFF2-40B4-BE49-F238E27FC236}">
              <a16:creationId xmlns:a16="http://schemas.microsoft.com/office/drawing/2014/main" id="{0CF7A7B8-B514-4C5B-9616-4F91E8DDC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254001</xdr:colOff>
      <xdr:row>15</xdr:row>
      <xdr:rowOff>135466</xdr:rowOff>
    </xdr:from>
    <xdr:to>
      <xdr:col>8</xdr:col>
      <xdr:colOff>465667</xdr:colOff>
      <xdr:row>25</xdr:row>
      <xdr:rowOff>59267</xdr:rowOff>
    </xdr:to>
    <xdr:graphicFrame macro="">
      <xdr:nvGraphicFramePr>
        <xdr:cNvPr id="4" name="Chart 3">
          <a:extLst>
            <a:ext uri="{FF2B5EF4-FFF2-40B4-BE49-F238E27FC236}">
              <a16:creationId xmlns:a16="http://schemas.microsoft.com/office/drawing/2014/main" id="{D93B9F1D-4ACA-4AF2-95E7-8E9FB28ED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448734</xdr:colOff>
      <xdr:row>24</xdr:row>
      <xdr:rowOff>33868</xdr:rowOff>
    </xdr:from>
    <xdr:to>
      <xdr:col>6</xdr:col>
      <xdr:colOff>550334</xdr:colOff>
      <xdr:row>25</xdr:row>
      <xdr:rowOff>127001</xdr:rowOff>
    </xdr:to>
    <xdr:sp macro="" textlink="">
      <xdr:nvSpPr>
        <xdr:cNvPr id="9" name="Rectangle 8">
          <a:extLst>
            <a:ext uri="{FF2B5EF4-FFF2-40B4-BE49-F238E27FC236}">
              <a16:creationId xmlns:a16="http://schemas.microsoft.com/office/drawing/2014/main" id="{7DCB927A-81D3-4FE0-9AF6-82BF3E6A6905}"/>
            </a:ext>
          </a:extLst>
        </xdr:cNvPr>
        <xdr:cNvSpPr/>
      </xdr:nvSpPr>
      <xdr:spPr>
        <a:xfrm>
          <a:off x="2277534" y="4504268"/>
          <a:ext cx="1930400"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Patient Reffer Status</a:t>
          </a:r>
        </a:p>
      </xdr:txBody>
    </xdr:sp>
    <xdr:clientData/>
  </xdr:twoCellAnchor>
  <xdr:twoCellAnchor editAs="oneCell">
    <xdr:from>
      <xdr:col>12</xdr:col>
      <xdr:colOff>245534</xdr:colOff>
      <xdr:row>6</xdr:row>
      <xdr:rowOff>118534</xdr:rowOff>
    </xdr:from>
    <xdr:to>
      <xdr:col>15</xdr:col>
      <xdr:colOff>228600</xdr:colOff>
      <xdr:row>10</xdr:row>
      <xdr:rowOff>59267</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5A761683-EFE3-41D5-87C1-03722299E03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560734" y="1236134"/>
              <a:ext cx="1811866"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17</xdr:col>
          <xdr:colOff>0</xdr:colOff>
          <xdr:row>20</xdr:row>
          <xdr:rowOff>0</xdr:rowOff>
        </xdr:from>
        <xdr:to>
          <xdr:col>18</xdr:col>
          <xdr:colOff>7620</xdr:colOff>
          <xdr:row>21</xdr:row>
          <xdr:rowOff>7620</xdr:rowOff>
        </xdr:to>
        <xdr:pic>
          <xdr:nvPicPr>
            <xdr:cNvPr id="14" name="Picture 13">
              <a:extLst>
                <a:ext uri="{FF2B5EF4-FFF2-40B4-BE49-F238E27FC236}">
                  <a16:creationId xmlns:a16="http://schemas.microsoft.com/office/drawing/2014/main" id="{2E829FA6-B0EF-420F-5099-24623019BD71}"/>
                </a:ext>
              </a:extLst>
            </xdr:cNvPr>
            <xdr:cNvPicPr>
              <a:picLocks noChangeAspect="1" noChangeArrowheads="1"/>
              <a:extLst>
                <a:ext uri="{84589F7E-364E-4C9E-8A38-B11213B215E9}">
                  <a14:cameraTool cellRange="'Orignal Pivot Table'!$V$17" spid="_x0000_s1137"/>
                </a:ext>
              </a:extLst>
            </xdr:cNvPicPr>
          </xdr:nvPicPr>
          <xdr:blipFill>
            <a:blip xmlns:r="http://schemas.openxmlformats.org/officeDocument/2006/relationships" r:embed="rId18"/>
            <a:srcRect/>
            <a:stretch>
              <a:fillRect/>
            </a:stretch>
          </xdr:blipFill>
          <xdr:spPr bwMode="auto">
            <a:xfrm>
              <a:off x="10363200" y="365760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23</xdr:row>
          <xdr:rowOff>0</xdr:rowOff>
        </xdr:from>
        <xdr:to>
          <xdr:col>19</xdr:col>
          <xdr:colOff>7620</xdr:colOff>
          <xdr:row>24</xdr:row>
          <xdr:rowOff>7620</xdr:rowOff>
        </xdr:to>
        <xdr:pic>
          <xdr:nvPicPr>
            <xdr:cNvPr id="16" name="Picture 15">
              <a:extLst>
                <a:ext uri="{FF2B5EF4-FFF2-40B4-BE49-F238E27FC236}">
                  <a16:creationId xmlns:a16="http://schemas.microsoft.com/office/drawing/2014/main" id="{F3ABA641-40AD-E13D-7014-6F559FA48369}"/>
                </a:ext>
              </a:extLst>
            </xdr:cNvPr>
            <xdr:cNvPicPr>
              <a:picLocks noChangeAspect="1" noChangeArrowheads="1"/>
              <a:extLst>
                <a:ext uri="{84589F7E-364E-4C9E-8A38-B11213B215E9}">
                  <a14:cameraTool cellRange="'Orignal Pivot Table'!$V$17" spid="_x0000_s1138"/>
                </a:ext>
              </a:extLst>
            </xdr:cNvPicPr>
          </xdr:nvPicPr>
          <xdr:blipFill>
            <a:blip xmlns:r="http://schemas.openxmlformats.org/officeDocument/2006/relationships" r:embed="rId18"/>
            <a:srcRect/>
            <a:stretch>
              <a:fillRect/>
            </a:stretch>
          </xdr:blipFill>
          <xdr:spPr bwMode="auto">
            <a:xfrm>
              <a:off x="10972800" y="420624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457201</xdr:colOff>
          <xdr:row>0</xdr:row>
          <xdr:rowOff>110067</xdr:rowOff>
        </xdr:from>
        <xdr:to>
          <xdr:col>15</xdr:col>
          <xdr:colOff>237068</xdr:colOff>
          <xdr:row>5</xdr:row>
          <xdr:rowOff>143933</xdr:rowOff>
        </xdr:to>
        <xdr:pic>
          <xdr:nvPicPr>
            <xdr:cNvPr id="24" name="Picture 23">
              <a:extLst>
                <a:ext uri="{FF2B5EF4-FFF2-40B4-BE49-F238E27FC236}">
                  <a16:creationId xmlns:a16="http://schemas.microsoft.com/office/drawing/2014/main" id="{38F01C70-A186-7228-7E0D-67AE78C62EDE}"/>
                </a:ext>
              </a:extLst>
            </xdr:cNvPr>
            <xdr:cNvPicPr>
              <a:picLocks noChangeAspect="1" noChangeArrowheads="1"/>
              <a:extLst>
                <a:ext uri="{84589F7E-364E-4C9E-8A38-B11213B215E9}">
                  <a14:cameraTool cellRange="'Orignal Pivot Table'!$Q$14:$T$16" spid="_x0000_s1139"/>
                </a:ext>
              </a:extLst>
            </xdr:cNvPicPr>
          </xdr:nvPicPr>
          <xdr:blipFill>
            <a:blip xmlns:r="http://schemas.openxmlformats.org/officeDocument/2006/relationships" r:embed="rId19"/>
            <a:srcRect/>
            <a:stretch>
              <a:fillRect/>
            </a:stretch>
          </xdr:blipFill>
          <xdr:spPr bwMode="auto">
            <a:xfrm>
              <a:off x="4724401" y="110067"/>
              <a:ext cx="4656667" cy="965199"/>
            </a:xfrm>
            <a:prstGeom prst="roundRect">
              <a:avLst>
                <a:gd name="adj" fmla="val 1052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121920</xdr:colOff>
      <xdr:row>1</xdr:row>
      <xdr:rowOff>106680</xdr:rowOff>
    </xdr:from>
    <xdr:to>
      <xdr:col>15</xdr:col>
      <xdr:colOff>335280</xdr:colOff>
      <xdr:row>19</xdr:row>
      <xdr:rowOff>99060</xdr:rowOff>
    </xdr:to>
    <xdr:graphicFrame macro="">
      <xdr:nvGraphicFramePr>
        <xdr:cNvPr id="2" name="Chart 1">
          <a:extLst>
            <a:ext uri="{FF2B5EF4-FFF2-40B4-BE49-F238E27FC236}">
              <a16:creationId xmlns:a16="http://schemas.microsoft.com/office/drawing/2014/main" id="{A3C50A9D-C88D-4551-BAE8-0F0A8D0A4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213360</xdr:colOff>
      <xdr:row>1</xdr:row>
      <xdr:rowOff>121920</xdr:rowOff>
    </xdr:from>
    <xdr:to>
      <xdr:col>1</xdr:col>
      <xdr:colOff>129540</xdr:colOff>
      <xdr:row>4</xdr:row>
      <xdr:rowOff>99060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C071800B-A5CF-4B86-8F77-28311C58F3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3360" y="304800"/>
          <a:ext cx="525780" cy="5257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228600</xdr:colOff>
      <xdr:row>2</xdr:row>
      <xdr:rowOff>22860</xdr:rowOff>
    </xdr:from>
    <xdr:to>
      <xdr:col>13</xdr:col>
      <xdr:colOff>586740</xdr:colOff>
      <xdr:row>20</xdr:row>
      <xdr:rowOff>45720</xdr:rowOff>
    </xdr:to>
    <xdr:graphicFrame macro="">
      <xdr:nvGraphicFramePr>
        <xdr:cNvPr id="2" name="Chart 1">
          <a:extLst>
            <a:ext uri="{FF2B5EF4-FFF2-40B4-BE49-F238E27FC236}">
              <a16:creationId xmlns:a16="http://schemas.microsoft.com/office/drawing/2014/main" id="{ED77F41B-2D92-4573-880F-A698B4248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304800</xdr:colOff>
      <xdr:row>2</xdr:row>
      <xdr:rowOff>22860</xdr:rowOff>
    </xdr:from>
    <xdr:to>
      <xdr:col>2</xdr:col>
      <xdr:colOff>220980</xdr:colOff>
      <xdr:row>5</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F8D7B45-88D9-5A56-9C51-B431B87411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0" y="388620"/>
          <a:ext cx="525780" cy="5257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0.798305208336" createdVersion="5" refreshedVersion="8" minRefreshableVersion="3" recordCount="0" supportSubquery="1" supportAdvancedDrill="1" xr:uid="{9CF791A7-230C-41A8-B067-F1268EE19BF9}">
  <cacheSource type="external" connectionId="4"/>
  <cacheFields count="2">
    <cacheField name="[Measures].[Distinct Count of Patient Id]" caption="Distinct Count of Patient Id" numFmtId="0" hierarchy="24" level="32767"/>
    <cacheField name="[Measures].[Sum of Patient Waittime]" caption="Sum of Patient Waittime" numFmtId="0" hierarchy="25"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0.798302777781" createdVersion="5" refreshedVersion="8" minRefreshableVersion="3" recordCount="0" supportSubquery="1" supportAdvancedDrill="1" xr:uid="{1CB5B71F-6440-4264-A867-94C3C32D5B00}">
  <cacheSource type="external" connectionId="4"/>
  <cacheFields count="1">
    <cacheField name="[Measures].[Distinct Count of Patient Id]" caption="Distinct Count of Patient Id" numFmtId="0" hierarchy="24"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39467591" createdVersion="5" refreshedVersion="8" minRefreshableVersion="3" recordCount="0" supportSubquery="1" supportAdvancedDrill="1" xr:uid="{94B91180-B42D-4EAA-8F1B-CBB01B1575CD}">
  <cacheSource type="external" connectionId="4"/>
  <cacheFields count="3">
    <cacheField name="[Measures].[Distinct Count of Patient Id]" caption="Distinct Count of Patient Id" numFmtId="0" hierarchy="24" level="32767"/>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41203707" createdVersion="5" refreshedVersion="8" minRefreshableVersion="3" recordCount="0" supportSubquery="1" supportAdvancedDrill="1" xr:uid="{223932F4-006C-4330-9967-67B7433CE660}">
  <cacheSource type="external" connectionId="4"/>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43402778" createdVersion="5" refreshedVersion="8" minRefreshableVersion="3" recordCount="0" supportSubquery="1" supportAdvancedDrill="1" xr:uid="{8D7D5184-44C3-4882-96F3-EF68032B4E94}">
  <cacheSource type="external" connectionId="4"/>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45023148" createdVersion="5" refreshedVersion="8" minRefreshableVersion="3" recordCount="0" supportSubquery="1" supportAdvancedDrill="1" xr:uid="{33D89EE7-608D-4CD7-B531-90FE1BE71010}">
  <cacheSource type="external" connectionId="4"/>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46875003" createdVersion="5" refreshedVersion="8" minRefreshableVersion="3" recordCount="0" supportSubquery="1" supportAdvancedDrill="1" xr:uid="{5D9C650D-B3ED-4FC0-ACE9-6837B2C10978}">
  <cacheSource type="external" connectionId="4"/>
  <cacheFields count="3">
    <cacheField name="[Calender_Table].[Date (Day)].[Date (Day)]" caption="Date (Day)" numFmtId="0" hierarchy="2" level="1">
      <sharedItems count="60">
        <s v="1-Feb"/>
        <s v="2-Feb"/>
        <s v="3-Feb"/>
        <s v="4-Feb"/>
        <s v="5-Feb"/>
        <s v="6-Feb"/>
        <s v="7-Feb"/>
        <s v="8-Feb"/>
        <s v="9-Feb"/>
        <s v="10-Feb"/>
        <s v="11-Feb"/>
        <s v="12-Feb"/>
        <s v="13-Feb"/>
        <s v="14-Feb"/>
        <s v="15-Feb"/>
        <s v="16-Feb"/>
        <s v="17-Feb"/>
        <s v="18-Feb"/>
        <s v="19-Feb"/>
        <s v="20-Feb"/>
        <s v="21-Feb"/>
        <s v="22-Feb"/>
        <s v="23-Feb"/>
        <s v="24-Feb"/>
        <s v="25-Feb"/>
        <s v="26-Feb"/>
        <s v="27-Feb"/>
        <s v="28-Feb"/>
        <s v="29-Feb"/>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49652775" createdVersion="5" refreshedVersion="8" minRefreshableVersion="3" recordCount="0" supportSubquery="1" supportAdvancedDrill="1" xr:uid="{F21A6A8A-8346-4B52-ADB4-77908C3269AB}">
  <cacheSource type="external" connectionId="4"/>
  <cacheFields count="3">
    <cacheField name="[Calender_Table].[Date (Day)].[Date (Day)]" caption="Date (Day)" numFmtId="0" hierarchy="2" level="1">
      <sharedItems count="59">
        <s v="1-Feb"/>
        <s v="2-Feb"/>
        <s v="3-Feb"/>
        <s v="4-Feb"/>
        <s v="5-Feb"/>
        <s v="6-Feb"/>
        <s v="7-Feb"/>
        <s v="8-Feb"/>
        <s v="9-Feb"/>
        <s v="10-Feb"/>
        <s v="11-Feb"/>
        <s v="12-Feb"/>
        <s v="13-Feb"/>
        <s v="14-Feb"/>
        <s v="15-Feb"/>
        <s v="16-Feb"/>
        <s v="17-Feb"/>
        <s v="18-Feb"/>
        <s v="19-Feb"/>
        <s v="20-Feb"/>
        <s v="21-Feb"/>
        <s v="22-Feb"/>
        <s v="23-Feb"/>
        <s v="24-Feb"/>
        <s v="25-Feb"/>
        <s v="27-Feb"/>
        <s v="28-Feb"/>
        <s v="29-Feb"/>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5208333" createdVersion="5" refreshedVersion="8" minRefreshableVersion="3" recordCount="0" supportSubquery="1" supportAdvancedDrill="1" xr:uid="{8CB1BFA9-1220-4CA4-8113-F9578A45A07C}">
  <cacheSource type="external" connectionId="4"/>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1-09"/>
        <s v="10-19"/>
        <s v="20-29"/>
        <s v="30-39"/>
        <s v="40-49"/>
        <s v="50-59"/>
        <s v="60-69"/>
        <s v="70-79"/>
      </sharedItems>
    </cacheField>
    <cacheField name="[Measures].[Count of Age Group]" caption="Count of Age Group" numFmtId="0" hierarchy="32"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52777777" createdVersion="5" refreshedVersion="8" minRefreshableVersion="3" recordCount="0" supportSubquery="1" supportAdvancedDrill="1" xr:uid="{2184CF63-4F06-40AB-8A23-ECC76A0F05C3}">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53472223" createdVersion="5" refreshedVersion="8" minRefreshableVersion="3" recordCount="0" supportSubquery="1" supportAdvancedDrill="1" xr:uid="{19FF97E0-688C-47F3-A0A6-35B5EFCE1C9F}">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5416667" createdVersion="5" refreshedVersion="8" minRefreshableVersion="3" recordCount="0" supportSubquery="1" supportAdvancedDrill="1" xr:uid="{1437A8D8-0C32-4B4A-8767-C8B09721C5FF}">
  <cacheSource type="external" connectionId="4"/>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54976855" createdVersion="5" refreshedVersion="8" minRefreshableVersion="3" recordCount="0" supportSubquery="1" supportAdvancedDrill="1" xr:uid="{72491777-C398-471E-A6C0-F29F71DE4AD8}">
  <cacheSource type="external" connectionId="4"/>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3.516355555555" createdVersion="5" refreshedVersion="8" minRefreshableVersion="3" recordCount="0" supportSubquery="1" supportAdvancedDrill="1" xr:uid="{BDF79FAB-33A5-4B63-A376-FA7600F50560}">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1.861061689815" createdVersion="3" refreshedVersion="8" minRefreshableVersion="3" recordCount="0" supportSubquery="1" supportAdvancedDrill="1" xr:uid="{DE2D83C1-09EC-4147-BAC5-BCE95AEF55FA}">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782692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E29E5E-1BE0-4146-AFFD-F7BAA54EEE1B}" name="PivotTable2" cacheId="0" applyNumberFormats="0" applyBorderFormats="0" applyFontFormats="0" applyPatternFormats="0" applyAlignmentFormats="0" applyWidthHeightFormats="1" dataCaption="Values" tag="4f7551b9-e21c-4467-a132-6a829d953297" updatedVersion="8" minRefreshableVersion="3" useAutoFormatting="1" itemPrintTitles="1" createdVersion="5" indent="0" outline="1" outlineData="1" multipleFieldFilters="0" fieldListSortAscending="1">
  <location ref="A5:B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Distinct Count of Patient Id" fld="0" subtotal="count" baseField="0" baseItem="0">
      <extLst>
        <ext xmlns:x15="http://schemas.microsoft.com/office/spreadsheetml/2010/11/main" uri="{FABC7310-3BB5-11E1-824E-6D434824019B}">
          <x15:dataField isCountDistinct="1"/>
        </ext>
      </extLst>
    </dataField>
    <dataField name="Sum of Patient Waittime" fld="1"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B4031F-68CD-4BD9-88C9-E13C88A0CF6E}" name="PivotTable1" cacheId="1" applyNumberFormats="0" applyBorderFormats="0" applyFontFormats="0" applyPatternFormats="0" applyAlignmentFormats="0" applyWidthHeightFormats="1" dataCaption="Values" tag="64e13428-bb58-4dd0-905d-734a42a2ec0c" updatedVersion="8" minRefreshableVersion="3" useAutoFormatting="1" itemPrintTitles="1" createdVersion="5"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EA1E23-9D93-4ACE-85B0-D2C8CE0063BE}" name="PivotTable6" cacheId="279" applyNumberFormats="0" applyBorderFormats="0" applyFontFormats="0" applyPatternFormats="0" applyAlignmentFormats="0" applyWidthHeightFormats="1" dataCaption="Values" tag="808cf1ba-ee81-43c5-be5e-e111219b6d5d" updatedVersion="8" minRefreshableVersion="3" useAutoFormatting="1" itemPrintTitles="1" createdVersion="5" indent="0" outline="1" outlineData="1" multipleFieldFilters="0" chartFormat="22" fieldListSortAscending="1">
  <location ref="D3:E33" firstHeaderRow="1" firstDataRow="1" firstDataCol="1"/>
  <pivotFields count="3">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0"/>
          </reference>
        </references>
      </pivotArea>
    </chartFormat>
    <chartFormat chart="14" format="16" series="1">
      <pivotArea type="data" outline="0" fieldPosition="0">
        <references count="1">
          <reference field="4294967294" count="1" selected="0">
            <x v="0"/>
          </reference>
        </references>
      </pivotArea>
    </chartFormat>
    <chartFormat chart="16" format="16" series="1">
      <pivotArea type="data" outline="0" fieldPosition="0">
        <references count="1">
          <reference field="4294967294" count="1" selected="0">
            <x v="0"/>
          </reference>
        </references>
      </pivotArea>
    </chartFormat>
    <chartFormat chart="19" format="19"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5821FC-6F98-4763-AD35-7A7CA2E64C2B}" name="PivotTable7" cacheId="306" applyNumberFormats="0" applyBorderFormats="0" applyFontFormats="0" applyPatternFormats="0" applyAlignmentFormats="0" applyWidthHeightFormats="1" dataCaption="Values" tag="a05d5679-3e04-4eb6-9120-e9f7ad74673b" updatedVersion="8" minRefreshableVersion="3" itemPrintTitles="1" createdVersion="5" indent="0" outline="1" outlineData="1" multipleFieldFilters="0" chartFormat="96" fieldListSortAscending="1">
  <location ref="E61:F7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numFmtId="1"/>
  </dataFields>
  <formats count="1">
    <format dxfId="162">
      <pivotArea outline="0" collapsedLevelsAreSubtotals="1" fieldPosition="0"/>
    </format>
  </formats>
  <chartFormats count="1">
    <chartFormat chart="9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A29F69-0508-472F-A1AC-9C0F4AEE64D8}" name="PivotTable2" cacheId="294" applyNumberFormats="0" applyBorderFormats="0" applyFontFormats="0" applyPatternFormats="0" applyAlignmentFormats="0" applyWidthHeightFormats="1" dataCaption="Values" tag="808cf1ba-ee81-43c5-be5e-e111219b6d5d" updatedVersion="8" minRefreshableVersion="3" useAutoFormatting="1" itemPrintTitles="1" createdVersion="5" indent="0" outline="1" outlineData="1" multipleFieldFilters="0" chartFormat="40" rowHeaderCaption=" " fieldListSortAscending="1">
  <location ref="M3:N32" firstHeaderRow="1" firstDataRow="1" firstDataCol="1"/>
  <pivotFields count="3">
    <pivotField axis="axisRow" allDrilled="1" subtotalTop="0" showAll="0" dataSourceSort="1" defaultSubtotal="0"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s>
    </pivotField>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numFmtId="2"/>
  </dataFields>
  <formats count="4">
    <format dxfId="166">
      <pivotArea collapsedLevelsAreSubtotals="1" fieldPosition="0">
        <references count="1">
          <reference field="0" count="1">
            <x v="28"/>
          </reference>
        </references>
      </pivotArea>
    </format>
    <format dxfId="165">
      <pivotArea collapsedLevelsAreSubtotals="1" fieldPosition="0">
        <references count="1">
          <reference field="0" count="30">
            <x v="29"/>
            <x v="30"/>
            <x v="31"/>
            <x v="32"/>
            <x v="33"/>
            <x v="34"/>
            <x v="35"/>
            <x v="36"/>
            <x v="37"/>
            <x v="38"/>
            <x v="39"/>
            <x v="40"/>
            <x v="41"/>
            <x v="42"/>
            <x v="43"/>
            <x v="44"/>
            <x v="45"/>
            <x v="46"/>
            <x v="47"/>
            <x v="48"/>
            <x v="49"/>
            <x v="50"/>
            <x v="51"/>
            <x v="52"/>
            <x v="53"/>
            <x v="54"/>
            <x v="55"/>
            <x v="56"/>
            <x v="57"/>
            <x v="58"/>
          </reference>
        </references>
      </pivotArea>
    </format>
    <format dxfId="164">
      <pivotArea grandRow="1" outline="0" collapsedLevelsAreSubtotals="1" fieldPosition="0"/>
    </format>
    <format dxfId="163">
      <pivotArea outline="0" collapsedLevelsAreSubtotals="1" fieldPosition="0"/>
    </format>
  </formats>
  <chartFormats count="2">
    <chartFormat chart="35"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C0A923-B923-4D9E-BB96-19EC48CCFAA1}" name="PivotTable1" cacheId="291" applyNumberFormats="0" applyBorderFormats="0" applyFontFormats="0" applyPatternFormats="0" applyAlignmentFormats="0" applyWidthHeightFormats="1" dataCaption="Values" tag="808cf1ba-ee81-43c5-be5e-e111219b6d5d" updatedVersion="8" minRefreshableVersion="3" useAutoFormatting="1" itemPrintTitles="1" createdVersion="5" indent="0" outline="1" outlineData="1" multipleFieldFilters="0" chartFormat="32" rowHeaderCaption=" " fieldListSortAscending="1">
  <location ref="J2:K32" firstHeaderRow="1" firstDataRow="1" firstDataCol="1"/>
  <pivotFields count="3">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6"/>
  </dataFields>
  <formats count="3">
    <format dxfId="169">
      <pivotArea collapsedLevelsAreSubtotals="1" fieldPosition="0">
        <references count="1">
          <reference field="0" count="1">
            <x v="29"/>
          </reference>
        </references>
      </pivotArea>
    </format>
    <format dxfId="168">
      <pivotArea collapsedLevelsAreSubtotals="1" fieldPosition="0">
        <references count="1">
          <reference field="0" count="30">
            <x v="30"/>
            <x v="31"/>
            <x v="32"/>
            <x v="33"/>
            <x v="34"/>
            <x v="35"/>
            <x v="36"/>
            <x v="37"/>
            <x v="38"/>
            <x v="39"/>
            <x v="40"/>
            <x v="41"/>
            <x v="42"/>
            <x v="43"/>
            <x v="44"/>
            <x v="45"/>
            <x v="46"/>
            <x v="47"/>
            <x v="48"/>
            <x v="49"/>
            <x v="50"/>
            <x v="51"/>
            <x v="52"/>
            <x v="53"/>
            <x v="54"/>
            <x v="55"/>
            <x v="56"/>
            <x v="57"/>
            <x v="58"/>
            <x v="59"/>
          </reference>
        </references>
      </pivotArea>
    </format>
    <format dxfId="167">
      <pivotArea grandRow="1"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CDAC87-D847-4384-A1F8-F71FDADFC166}" name="PivotTable4" cacheId="285" applyNumberFormats="0" applyBorderFormats="0" applyFontFormats="0" applyPatternFormats="0" applyAlignmentFormats="0" applyWidthHeightFormats="1" dataCaption="Values" tag="25615ac3-5670-4078-befd-cbde58eb478c" updatedVersion="8" minRefreshableVersion="3" useAutoFormatting="1" itemPrintTitles="1" createdVersion="5" indent="0" outline="1" outlineData="1" multipleFieldFilters="0" fieldListSortAscending="1">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0">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6A6DBF-911E-43F9-AD15-F7E37E24BD33}" name="PivotTable5" cacheId="288" applyNumberFormats="0" applyBorderFormats="0" applyFontFormats="0" applyPatternFormats="0" applyAlignmentFormats="0" applyWidthHeightFormats="1" dataCaption="Values" tag="a05d5679-3e04-4eb6-9120-e9f7ad74673b" updatedVersion="8" minRefreshableVersion="3" useAutoFormatting="1" itemPrintTitles="1" createdVersion="5" indent="0" outline="1" outlineData="1" multipleFieldFilters="0" fieldListSortAscending="1">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71">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FCF418-C033-4C88-ACC5-080F0693032E}" name="PivotTable10" cacheId="297" applyNumberFormats="0" applyBorderFormats="0" applyFontFormats="0" applyPatternFormats="0" applyAlignmentFormats="0" applyWidthHeightFormats="1" dataCaption="Values" tag="a05d5679-3e04-4eb6-9120-e9f7ad74673b" updatedVersion="8" minRefreshableVersion="3" itemPrintTitles="1" createdVersion="5" indent="0" outline="1" outlineData="1" multipleFieldFilters="0" chartFormat="66" fieldListSortAscending="1">
  <location ref="B49:C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73">
      <pivotArea outline="0" collapsedLevelsAreSubtotals="1" fieldPosition="0"/>
    </format>
    <format dxfId="172">
      <pivotArea collapsedLevelsAreSubtotals="1" fieldPosition="0">
        <references count="1">
          <reference field="1" count="0"/>
        </references>
      </pivotArea>
    </format>
  </formats>
  <chartFormats count="1">
    <chartFormat chart="6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242A89-219D-4065-9FB2-0185B8E1F6A0}" name="PivotTable12" cacheId="303" applyNumberFormats="0" applyBorderFormats="0" applyFontFormats="0" applyPatternFormats="0" applyAlignmentFormats="0" applyWidthHeightFormats="1" dataCaption="Values" tag="a05d5679-3e04-4eb6-9120-e9f7ad74673b" updatedVersion="8" minRefreshableVersion="3" itemPrintTitles="1" createdVersion="5" indent="0" outline="1" outlineData="1" multipleFieldFilters="0" chartFormat="87" fieldListSortAscending="1">
  <location ref="E55:F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74">
      <pivotArea outline="0" collapsedLevelsAreSubtotals="1" fieldPosition="0"/>
    </format>
  </formats>
  <chartFormats count="13">
    <chartFormat chart="79"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0"/>
          </reference>
        </references>
      </pivotArea>
    </chartFormat>
    <chartFormat chart="80" format="2">
      <pivotArea type="data" outline="0" fieldPosition="0">
        <references count="2">
          <reference field="4294967294" count="1" selected="0">
            <x v="0"/>
          </reference>
          <reference field="1" count="1" selected="0">
            <x v="0"/>
          </reference>
        </references>
      </pivotArea>
    </chartFormat>
    <chartFormat chart="80" format="3">
      <pivotArea type="data" outline="0" fieldPosition="0">
        <references count="2">
          <reference field="4294967294" count="1" selected="0">
            <x v="0"/>
          </reference>
          <reference field="1" count="1" selected="0">
            <x v="1"/>
          </reference>
        </references>
      </pivotArea>
    </chartFormat>
    <chartFormat chart="81" format="4" series="1">
      <pivotArea type="data" outline="0" fieldPosition="0">
        <references count="1">
          <reference field="4294967294" count="1" selected="0">
            <x v="0"/>
          </reference>
        </references>
      </pivotArea>
    </chartFormat>
    <chartFormat chart="81" format="5">
      <pivotArea type="data" outline="0" fieldPosition="0">
        <references count="2">
          <reference field="4294967294" count="1" selected="0">
            <x v="0"/>
          </reference>
          <reference field="1" count="1" selected="0">
            <x v="0"/>
          </reference>
        </references>
      </pivotArea>
    </chartFormat>
    <chartFormat chart="81" format="6">
      <pivotArea type="data" outline="0" fieldPosition="0">
        <references count="2">
          <reference field="4294967294" count="1" selected="0">
            <x v="0"/>
          </reference>
          <reference field="1" count="1" selected="0">
            <x v="1"/>
          </reference>
        </references>
      </pivotArea>
    </chartFormat>
    <chartFormat chart="82" format="4" series="1">
      <pivotArea type="data" outline="0" fieldPosition="0">
        <references count="1">
          <reference field="4294967294" count="1" selected="0">
            <x v="0"/>
          </reference>
        </references>
      </pivotArea>
    </chartFormat>
    <chartFormat chart="82" format="5">
      <pivotArea type="data" outline="0" fieldPosition="0">
        <references count="2">
          <reference field="4294967294" count="1" selected="0">
            <x v="0"/>
          </reference>
          <reference field="1" count="1" selected="0">
            <x v="0"/>
          </reference>
        </references>
      </pivotArea>
    </chartFormat>
    <chartFormat chart="82" format="6">
      <pivotArea type="data" outline="0" fieldPosition="0">
        <references count="2">
          <reference field="4294967294" count="1" selected="0">
            <x v="0"/>
          </reference>
          <reference field="1" count="1" selected="0">
            <x v="1"/>
          </reference>
        </references>
      </pivotArea>
    </chartFormat>
    <chartFormat chart="86" format="10" series="1">
      <pivotArea type="data" outline="0" fieldPosition="0">
        <references count="1">
          <reference field="4294967294" count="1" selected="0">
            <x v="0"/>
          </reference>
        </references>
      </pivotArea>
    </chartFormat>
    <chartFormat chart="86" format="11">
      <pivotArea type="data" outline="0" fieldPosition="0">
        <references count="2">
          <reference field="4294967294" count="1" selected="0">
            <x v="0"/>
          </reference>
          <reference field="1" count="1" selected="0">
            <x v="0"/>
          </reference>
        </references>
      </pivotArea>
    </chartFormat>
    <chartFormat chart="86" format="1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8E6BB4-9011-4773-9903-8E959562044B}" name="PivotTable3" cacheId="282" applyNumberFormats="0" applyBorderFormats="0" applyFontFormats="0" applyPatternFormats="0" applyAlignmentFormats="0" applyWidthHeightFormats="1" dataCaption="Values" tag="bb91a847-ecb4-4ebe-9bf8-e21258be786e" updatedVersion="8" minRefreshableVersion="3" useAutoFormatting="1" itemPrintTitles="1" createdVersion="5" indent="0" outline="1" outlineData="1" multipleFieldFilters="0" fieldListSortAscending="1">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CBDFBE-3360-4685-BD3A-80246AAE3A43}" name="PivotTable9" cacheId="312" applyNumberFormats="0" applyBorderFormats="0" applyFontFormats="0" applyPatternFormats="0" applyAlignmentFormats="0" applyWidthHeightFormats="1" dataCaption="Values" tag="a05d5679-3e04-4eb6-9120-e9f7ad74673b" updatedVersion="8" minRefreshableVersion="3" subtotalHiddenItems="1" itemPrintTitles="1" createdVersion="5" indent="0" outline="1" outlineData="1" multipleFieldFilters="0" chartFormat="104" fieldListSortAscending="1">
  <location ref="Q3:S6"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78">
      <pivotArea outline="0" collapsedLevelsAreSubtotals="1" fieldPosition="0"/>
    </format>
    <format dxfId="177">
      <pivotArea outline="0" fieldPosition="0">
        <references count="1">
          <reference field="4294967294" count="1">
            <x v="1"/>
          </reference>
        </references>
      </pivotArea>
    </format>
    <format dxfId="176">
      <pivotArea collapsedLevelsAreSubtotals="1" fieldPosition="0">
        <references count="2">
          <reference field="4294967294" count="1" selected="0">
            <x v="1"/>
          </reference>
          <reference field="1" count="1">
            <x v="0"/>
          </reference>
        </references>
      </pivotArea>
    </format>
    <format dxfId="175">
      <pivotArea collapsedLevelsAreSubtotals="1" fieldPosition="0">
        <references count="2">
          <reference field="4294967294" count="1" selected="0">
            <x v="1"/>
          </reference>
          <reference field="1" count="1">
            <x v="1"/>
          </reference>
        </references>
      </pivotArea>
    </format>
  </formats>
  <chartFormats count="4">
    <chartFormat chart="82" format="0" series="1">
      <pivotArea type="data" outline="0" fieldPosition="0">
        <references count="1">
          <reference field="4294967294" count="1" selected="0">
            <x v="0"/>
          </reference>
        </references>
      </pivotArea>
    </chartFormat>
    <chartFormat chart="82" format="1" series="1">
      <pivotArea type="data" outline="0" fieldPosition="0">
        <references count="1">
          <reference field="4294967294" count="1" selected="0">
            <x v="1"/>
          </reference>
        </references>
      </pivotArea>
    </chartFormat>
    <chartFormat chart="82" format="2">
      <pivotArea type="data" outline="0" fieldPosition="0">
        <references count="2">
          <reference field="4294967294" count="1" selected="0">
            <x v="0"/>
          </reference>
          <reference field="1" count="1" selected="0">
            <x v="0"/>
          </reference>
        </references>
      </pivotArea>
    </chartFormat>
    <chartFormat chart="82"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CE66AA-7028-4842-9A21-822770B51D4B}" name="PivotTable8" cacheId="309" applyNumberFormats="0" applyBorderFormats="0" applyFontFormats="0" applyPatternFormats="0" applyAlignmentFormats="0" applyWidthHeightFormats="1" dataCaption="Values" tag="a05d5679-3e04-4eb6-9120-e9f7ad74673b" updatedVersion="8" minRefreshableVersion="3" itemPrintTitles="1" createdVersion="5" indent="0" outline="1" outlineData="1" multipleFieldFilters="0" chartFormat="66" fieldListSortAscending="1">
  <location ref="B62:B6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79">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61A914-FC24-4928-8889-3ED4736D15A5}" name="PivotTable11" cacheId="300" applyNumberFormats="0" applyBorderFormats="0" applyFontFormats="0" applyPatternFormats="0" applyAlignmentFormats="0" applyWidthHeightFormats="1" dataCaption="Values" tag="a05d5679-3e04-4eb6-9120-e9f7ad74673b" updatedVersion="8" minRefreshableVersion="3" itemPrintTitles="1" createdVersion="5" indent="0" outline="1" outlineData="1" multipleFieldFilters="0" chartFormat="82" fieldListSortAscending="1">
  <location ref="E49:F5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2">
    <format dxfId="181">
      <pivotArea outline="0" collapsedLevelsAreSubtotals="1" fieldPosition="0"/>
    </format>
    <format dxfId="180">
      <pivotArea collapsedLevelsAreSubtotals="1" fieldPosition="0">
        <references count="1">
          <reference field="1" count="0"/>
        </references>
      </pivotArea>
    </format>
  </formats>
  <chartFormats count="3">
    <chartFormat chart="76" format="4" series="1">
      <pivotArea type="data" outline="0" fieldPosition="0">
        <references count="1">
          <reference field="4294967294" count="1" selected="0">
            <x v="0"/>
          </reference>
        </references>
      </pivotArea>
    </chartFormat>
    <chartFormat chart="76" format="5">
      <pivotArea type="data" outline="0" fieldPosition="0">
        <references count="2">
          <reference field="4294967294" count="1" selected="0">
            <x v="0"/>
          </reference>
          <reference field="1" count="1" selected="0">
            <x v="0"/>
          </reference>
        </references>
      </pivotArea>
    </chartFormat>
    <chartFormat chart="7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0FF6BEC-549C-4323-BD78-CF14376A8E8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66896BE-B740-4594-86AC-2667E0586F94}" sourceName="[Calender_Table].[Date (Month)]">
  <pivotTables>
    <pivotTable tabId="2" name="PivotTable6"/>
    <pivotTable tabId="2" name="PivotTable3"/>
    <pivotTable tabId="2" name="PivotTable4"/>
    <pivotTable tabId="2" name="PivotTable5"/>
    <pivotTable tabId="2" name="PivotTable1"/>
    <pivotTable tabId="2" name="PivotTable2"/>
    <pivotTable tabId="2" name="PivotTable10"/>
    <pivotTable tabId="2" name="PivotTable11"/>
    <pivotTable tabId="2" name="PivotTable12"/>
    <pivotTable tabId="2" name="PivotTable7"/>
    <pivotTable tabId="2" name="PivotTable8"/>
    <pivotTable tabId="2" name="PivotTable9"/>
  </pivotTables>
  <data>
    <olap pivotCacheId="67826925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B77823F-9C1C-4B9E-A981-A9B239C3EF86}" sourceName="[Calender_Table].[Date (Year)]">
  <pivotTables>
    <pivotTable tabId="2" name="PivotTable8"/>
  </pivotTables>
  <data>
    <olap pivotCacheId="67826925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1282CC1-7E1C-4FA5-8C56-C35BE06341D0}" cache="Slicer_Date__Month"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B48AD3D-BCCD-4D0C-A1CA-F7566A669791}" cache="Slicer_Date__Month" caption="Date (Month)" showCaption="0" level="1" style="My Style" rowHeight="234950"/>
  <slicer name="Date (Year)" xr10:uid="{CFE24C89-6320-4284-8915-D4540F5C0446}" cache="Slicer_Date__Year" caption="Date (Year)" showCaption="0" level="1" style="My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295BFE-243E-40A3-8D51-8E46CEBBC9C0}" name="Table_ExternalData_1" displayName="Table_ExternalData_1" ref="A3:M22" tableType="queryTable" totalsRowShown="0">
  <autoFilter ref="A3:M22" xr:uid="{E8295BFE-243E-40A3-8D51-8E46CEBBC9C0}"/>
  <tableColumns count="13">
    <tableColumn id="1" xr3:uid="{28ADA1C3-3266-4DD6-95ED-063E1C20401E}" uniqueName="1" name="Hospital Emergency Room Data[Patient Id]" queryTableFieldId="1"/>
    <tableColumn id="2" xr3:uid="{C3AE7012-5F1A-469D-ACD9-C7098F044683}" uniqueName="2" name="Hospital Emergency Room Data[Patient Admission Date]" queryTableFieldId="2" dataDxfId="183"/>
    <tableColumn id="3" xr3:uid="{6607979D-6C5F-4278-832C-3C52D40E8D56}" uniqueName="3" name="Hospital Emergency Room Data[Time]" queryTableFieldId="3" dataDxfId="182"/>
    <tableColumn id="4" xr3:uid="{33B6519D-BE53-46C1-94F8-2823F62CB8F2}" uniqueName="4" name="Hospital Emergency Room Data[Merged]" queryTableFieldId="4"/>
    <tableColumn id="5" xr3:uid="{2D886F66-CF86-4CBA-A009-8A4BD1030EEB}" uniqueName="5" name="Hospital Emergency Room Data[Patient Gender]" queryTableFieldId="5"/>
    <tableColumn id="6" xr3:uid="{372B1E9B-C574-49B0-AB61-D6EE0B23E846}" uniqueName="6" name="Hospital Emergency Room Data[Patient Age]" queryTableFieldId="6"/>
    <tableColumn id="7" xr3:uid="{0E669CA3-952B-4E9B-A02E-23381702846A}" uniqueName="7" name="Hospital Emergency Room Data[Patient Race]" queryTableFieldId="7"/>
    <tableColumn id="8" xr3:uid="{8937EB03-FB11-4EB3-A9E0-DA12E11B1CD6}" uniqueName="8" name="Hospital Emergency Room Data[Department Referral]" queryTableFieldId="8"/>
    <tableColumn id="9" xr3:uid="{A904770F-CD16-4C0D-AE72-226CCD2BBFB3}" uniqueName="9" name="Hospital Emergency Room Data[Patient Admission Flag]" queryTableFieldId="9"/>
    <tableColumn id="10" xr3:uid="{964CFB8C-31F0-4807-B937-974813A0708D}" uniqueName="10" name="Hospital Emergency Room Data[Patient Satisfaction Score]" queryTableFieldId="10"/>
    <tableColumn id="11" xr3:uid="{C23DDEAB-0ABC-4E00-9117-D1BA885FD85F}" uniqueName="11" name="Hospital Emergency Room Data[Patient Waittime]" queryTableFieldId="11"/>
    <tableColumn id="12" xr3:uid="{E0F8C197-D182-4C78-A9EE-2FA184982E95}" uniqueName="12" name="Hospital Emergency Room Data[Age Group]" queryTableFieldId="12"/>
    <tableColumn id="13" xr3:uid="{6DD1A46B-CCD5-44F3-8DA2-33D240587C57}"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drawing" Target="../drawings/drawing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0BD0B-2ADB-4520-8A89-B69EF672BD01}">
  <dimension ref="A1:B6"/>
  <sheetViews>
    <sheetView workbookViewId="0">
      <selection activeCell="A5" sqref="A5:A6"/>
    </sheetView>
  </sheetViews>
  <sheetFormatPr defaultRowHeight="14.4" x14ac:dyDescent="0.3"/>
  <cols>
    <col min="1" max="1" width="23.88671875" bestFit="1" customWidth="1"/>
    <col min="2" max="2" width="21.88671875" bestFit="1" customWidth="1"/>
  </cols>
  <sheetData>
    <row r="1" spans="1:2" x14ac:dyDescent="0.3">
      <c r="A1" t="s">
        <v>0</v>
      </c>
    </row>
    <row r="2" spans="1:2" x14ac:dyDescent="0.3">
      <c r="A2">
        <v>9216</v>
      </c>
    </row>
    <row r="5" spans="1:2" x14ac:dyDescent="0.3">
      <c r="A5" t="s">
        <v>0</v>
      </c>
      <c r="B5" t="s">
        <v>1</v>
      </c>
    </row>
    <row r="6" spans="1:2" x14ac:dyDescent="0.3">
      <c r="A6">
        <v>9216</v>
      </c>
      <c r="B6">
        <v>324955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4615-016A-435E-A51D-257032E61ED4}">
  <dimension ref="A1:M22"/>
  <sheetViews>
    <sheetView workbookViewId="0">
      <selection activeCell="C1" sqref="C1"/>
    </sheetView>
  </sheetViews>
  <sheetFormatPr defaultRowHeight="14.4" x14ac:dyDescent="0.3"/>
  <cols>
    <col min="1" max="1" width="19" customWidth="1"/>
    <col min="2" max="2" width="20.77734375" customWidth="1"/>
    <col min="3" max="3" width="35.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9" t="s">
        <v>84</v>
      </c>
    </row>
    <row r="3" spans="1:13" x14ac:dyDescent="0.3">
      <c r="A3" t="s">
        <v>10</v>
      </c>
      <c r="B3" t="s">
        <v>11</v>
      </c>
      <c r="C3" t="s">
        <v>12</v>
      </c>
      <c r="D3" t="s">
        <v>13</v>
      </c>
      <c r="E3" t="s">
        <v>14</v>
      </c>
      <c r="F3" t="s">
        <v>15</v>
      </c>
      <c r="G3" t="s">
        <v>16</v>
      </c>
      <c r="H3" t="s">
        <v>17</v>
      </c>
      <c r="I3" t="s">
        <v>18</v>
      </c>
      <c r="J3" t="s">
        <v>19</v>
      </c>
      <c r="K3" t="s">
        <v>20</v>
      </c>
      <c r="L3" t="s">
        <v>21</v>
      </c>
      <c r="M3" t="s">
        <v>22</v>
      </c>
    </row>
    <row r="4" spans="1:13" x14ac:dyDescent="0.3">
      <c r="A4" t="s">
        <v>23</v>
      </c>
      <c r="B4" s="7">
        <v>45292</v>
      </c>
      <c r="C4" s="8">
        <v>0.99791666666666667</v>
      </c>
      <c r="D4" t="s">
        <v>24</v>
      </c>
      <c r="E4" t="s">
        <v>25</v>
      </c>
      <c r="F4">
        <v>37</v>
      </c>
      <c r="G4" t="s">
        <v>26</v>
      </c>
      <c r="H4" t="s">
        <v>27</v>
      </c>
      <c r="I4" t="s">
        <v>28</v>
      </c>
      <c r="K4">
        <v>14</v>
      </c>
      <c r="L4" t="s">
        <v>29</v>
      </c>
      <c r="M4" t="s">
        <v>30</v>
      </c>
    </row>
    <row r="5" spans="1:13" x14ac:dyDescent="0.3">
      <c r="A5" t="s">
        <v>31</v>
      </c>
      <c r="B5" s="7">
        <v>45292</v>
      </c>
      <c r="C5" s="8">
        <v>0.53819444444444442</v>
      </c>
      <c r="D5" t="s">
        <v>32</v>
      </c>
      <c r="E5" t="s">
        <v>33</v>
      </c>
      <c r="F5">
        <v>28</v>
      </c>
      <c r="G5" t="s">
        <v>26</v>
      </c>
      <c r="H5" t="s">
        <v>27</v>
      </c>
      <c r="I5" t="s">
        <v>34</v>
      </c>
      <c r="K5">
        <v>57</v>
      </c>
      <c r="L5" t="s">
        <v>35</v>
      </c>
      <c r="M5" t="s">
        <v>36</v>
      </c>
    </row>
    <row r="6" spans="1:13" x14ac:dyDescent="0.3">
      <c r="A6" t="s">
        <v>37</v>
      </c>
      <c r="B6" s="7">
        <v>45292</v>
      </c>
      <c r="C6" s="8">
        <v>0.6381944444444444</v>
      </c>
      <c r="D6" t="s">
        <v>38</v>
      </c>
      <c r="E6" t="s">
        <v>25</v>
      </c>
      <c r="F6">
        <v>8</v>
      </c>
      <c r="G6" t="s">
        <v>39</v>
      </c>
      <c r="H6" t="s">
        <v>27</v>
      </c>
      <c r="I6" t="s">
        <v>34</v>
      </c>
      <c r="K6">
        <v>23</v>
      </c>
      <c r="L6" t="s">
        <v>40</v>
      </c>
      <c r="M6" t="s">
        <v>30</v>
      </c>
    </row>
    <row r="7" spans="1:13" x14ac:dyDescent="0.3">
      <c r="A7" t="s">
        <v>41</v>
      </c>
      <c r="B7" s="7">
        <v>45292</v>
      </c>
      <c r="C7" s="8">
        <v>0.48749999999999999</v>
      </c>
      <c r="D7" t="s">
        <v>42</v>
      </c>
      <c r="E7" t="s">
        <v>33</v>
      </c>
      <c r="F7">
        <v>8</v>
      </c>
      <c r="G7" t="s">
        <v>39</v>
      </c>
      <c r="H7" t="s">
        <v>27</v>
      </c>
      <c r="I7" t="s">
        <v>28</v>
      </c>
      <c r="K7">
        <v>21</v>
      </c>
      <c r="L7" t="s">
        <v>40</v>
      </c>
      <c r="M7" t="s">
        <v>30</v>
      </c>
    </row>
    <row r="8" spans="1:13" x14ac:dyDescent="0.3">
      <c r="A8" t="s">
        <v>43</v>
      </c>
      <c r="B8" s="7">
        <v>45292</v>
      </c>
      <c r="C8" s="8">
        <v>6.9444444444444441E-3</v>
      </c>
      <c r="D8" t="s">
        <v>44</v>
      </c>
      <c r="E8" t="s">
        <v>25</v>
      </c>
      <c r="F8">
        <v>70</v>
      </c>
      <c r="G8" t="s">
        <v>39</v>
      </c>
      <c r="H8" t="s">
        <v>27</v>
      </c>
      <c r="I8" t="s">
        <v>28</v>
      </c>
      <c r="K8">
        <v>21</v>
      </c>
      <c r="L8" t="s">
        <v>45</v>
      </c>
      <c r="M8" t="s">
        <v>30</v>
      </c>
    </row>
    <row r="9" spans="1:13" x14ac:dyDescent="0.3">
      <c r="A9" t="s">
        <v>46</v>
      </c>
      <c r="B9" s="7">
        <v>45292</v>
      </c>
      <c r="C9" s="8">
        <v>0.81736111111111109</v>
      </c>
      <c r="D9" t="s">
        <v>47</v>
      </c>
      <c r="E9" t="s">
        <v>25</v>
      </c>
      <c r="F9">
        <v>37</v>
      </c>
      <c r="G9" t="s">
        <v>48</v>
      </c>
      <c r="H9" t="s">
        <v>27</v>
      </c>
      <c r="I9" t="s">
        <v>28</v>
      </c>
      <c r="K9">
        <v>55</v>
      </c>
      <c r="L9" t="s">
        <v>29</v>
      </c>
      <c r="M9" t="s">
        <v>36</v>
      </c>
    </row>
    <row r="10" spans="1:13" x14ac:dyDescent="0.3">
      <c r="A10" t="s">
        <v>49</v>
      </c>
      <c r="B10" s="7">
        <v>45292</v>
      </c>
      <c r="C10" s="8">
        <v>0.73124999999999996</v>
      </c>
      <c r="D10" t="s">
        <v>50</v>
      </c>
      <c r="E10" t="s">
        <v>25</v>
      </c>
      <c r="F10">
        <v>59</v>
      </c>
      <c r="G10" t="s">
        <v>48</v>
      </c>
      <c r="H10" t="s">
        <v>27</v>
      </c>
      <c r="I10" t="s">
        <v>34</v>
      </c>
      <c r="K10">
        <v>47</v>
      </c>
      <c r="L10" t="s">
        <v>51</v>
      </c>
      <c r="M10" t="s">
        <v>36</v>
      </c>
    </row>
    <row r="11" spans="1:13" x14ac:dyDescent="0.3">
      <c r="A11" t="s">
        <v>52</v>
      </c>
      <c r="B11" s="7">
        <v>45292</v>
      </c>
      <c r="C11" s="8">
        <v>0.41875000000000001</v>
      </c>
      <c r="D11" t="s">
        <v>53</v>
      </c>
      <c r="E11" t="s">
        <v>25</v>
      </c>
      <c r="F11">
        <v>6</v>
      </c>
      <c r="G11" t="s">
        <v>48</v>
      </c>
      <c r="H11" t="s">
        <v>54</v>
      </c>
      <c r="I11" t="s">
        <v>28</v>
      </c>
      <c r="K11">
        <v>52</v>
      </c>
      <c r="L11" t="s">
        <v>40</v>
      </c>
      <c r="M11" t="s">
        <v>36</v>
      </c>
    </row>
    <row r="12" spans="1:13" x14ac:dyDescent="0.3">
      <c r="A12" t="s">
        <v>55</v>
      </c>
      <c r="B12" s="7">
        <v>45292</v>
      </c>
      <c r="C12" s="8">
        <v>0.72569444444444442</v>
      </c>
      <c r="D12" t="s">
        <v>56</v>
      </c>
      <c r="E12" t="s">
        <v>33</v>
      </c>
      <c r="F12">
        <v>22</v>
      </c>
      <c r="G12" t="s">
        <v>26</v>
      </c>
      <c r="H12" t="s">
        <v>57</v>
      </c>
      <c r="I12" t="s">
        <v>28</v>
      </c>
      <c r="K12">
        <v>45</v>
      </c>
      <c r="L12" t="s">
        <v>35</v>
      </c>
      <c r="M12" t="s">
        <v>36</v>
      </c>
    </row>
    <row r="13" spans="1:13" x14ac:dyDescent="0.3">
      <c r="A13" t="s">
        <v>58</v>
      </c>
      <c r="B13" s="7">
        <v>45292</v>
      </c>
      <c r="C13" s="8">
        <v>0.54166666666666663</v>
      </c>
      <c r="D13" t="s">
        <v>59</v>
      </c>
      <c r="E13" t="s">
        <v>25</v>
      </c>
      <c r="F13">
        <v>59</v>
      </c>
      <c r="G13" t="s">
        <v>26</v>
      </c>
      <c r="H13" t="s">
        <v>57</v>
      </c>
      <c r="I13" t="s">
        <v>28</v>
      </c>
      <c r="K13">
        <v>45</v>
      </c>
      <c r="L13" t="s">
        <v>51</v>
      </c>
      <c r="M13" t="s">
        <v>36</v>
      </c>
    </row>
    <row r="14" spans="1:13" x14ac:dyDescent="0.3">
      <c r="A14" t="s">
        <v>60</v>
      </c>
      <c r="B14" s="7">
        <v>45292</v>
      </c>
      <c r="C14" s="8">
        <v>0.95902777777777781</v>
      </c>
      <c r="D14" t="s">
        <v>61</v>
      </c>
      <c r="E14" t="s">
        <v>25</v>
      </c>
      <c r="F14">
        <v>19</v>
      </c>
      <c r="G14" t="s">
        <v>26</v>
      </c>
      <c r="H14" t="s">
        <v>62</v>
      </c>
      <c r="I14" t="s">
        <v>34</v>
      </c>
      <c r="K14">
        <v>34</v>
      </c>
      <c r="L14" t="s">
        <v>63</v>
      </c>
      <c r="M14" t="s">
        <v>36</v>
      </c>
    </row>
    <row r="15" spans="1:13" x14ac:dyDescent="0.3">
      <c r="A15" t="s">
        <v>64</v>
      </c>
      <c r="B15" s="7">
        <v>45292</v>
      </c>
      <c r="C15" s="8">
        <v>0.875</v>
      </c>
      <c r="D15" t="s">
        <v>65</v>
      </c>
      <c r="E15" t="s">
        <v>33</v>
      </c>
      <c r="F15">
        <v>63</v>
      </c>
      <c r="G15" t="s">
        <v>66</v>
      </c>
      <c r="H15" t="s">
        <v>62</v>
      </c>
      <c r="I15" t="s">
        <v>28</v>
      </c>
      <c r="K15">
        <v>36</v>
      </c>
      <c r="L15" t="s">
        <v>45</v>
      </c>
      <c r="M15" t="s">
        <v>36</v>
      </c>
    </row>
    <row r="16" spans="1:13" x14ac:dyDescent="0.3">
      <c r="A16" t="s">
        <v>67</v>
      </c>
      <c r="B16" s="7">
        <v>45292</v>
      </c>
      <c r="C16" s="8">
        <v>0.47569444444444442</v>
      </c>
      <c r="D16" t="s">
        <v>68</v>
      </c>
      <c r="E16" t="s">
        <v>25</v>
      </c>
      <c r="F16">
        <v>53</v>
      </c>
      <c r="G16" t="s">
        <v>66</v>
      </c>
      <c r="H16" t="s">
        <v>69</v>
      </c>
      <c r="I16" t="s">
        <v>28</v>
      </c>
      <c r="K16">
        <v>22</v>
      </c>
      <c r="L16" t="s">
        <v>51</v>
      </c>
      <c r="M16" t="s">
        <v>30</v>
      </c>
    </row>
    <row r="17" spans="1:13" x14ac:dyDescent="0.3">
      <c r="A17" t="s">
        <v>70</v>
      </c>
      <c r="B17" s="7">
        <v>45292</v>
      </c>
      <c r="C17" s="8">
        <v>0.9916666666666667</v>
      </c>
      <c r="D17" t="s">
        <v>71</v>
      </c>
      <c r="E17" t="s">
        <v>33</v>
      </c>
      <c r="F17">
        <v>5</v>
      </c>
      <c r="G17" t="s">
        <v>48</v>
      </c>
      <c r="H17" t="s">
        <v>27</v>
      </c>
      <c r="I17" t="s">
        <v>28</v>
      </c>
      <c r="J17">
        <v>3</v>
      </c>
      <c r="K17">
        <v>47</v>
      </c>
      <c r="L17" t="s">
        <v>40</v>
      </c>
      <c r="M17" t="s">
        <v>36</v>
      </c>
    </row>
    <row r="18" spans="1:13" x14ac:dyDescent="0.3">
      <c r="A18" t="s">
        <v>72</v>
      </c>
      <c r="B18" s="7">
        <v>45292</v>
      </c>
      <c r="C18" s="8">
        <v>0.37291666666666667</v>
      </c>
      <c r="D18" t="s">
        <v>73</v>
      </c>
      <c r="E18" t="s">
        <v>33</v>
      </c>
      <c r="F18">
        <v>5</v>
      </c>
      <c r="G18" t="s">
        <v>74</v>
      </c>
      <c r="H18" t="s">
        <v>27</v>
      </c>
      <c r="I18" t="s">
        <v>28</v>
      </c>
      <c r="J18">
        <v>5</v>
      </c>
      <c r="K18">
        <v>14</v>
      </c>
      <c r="L18" t="s">
        <v>40</v>
      </c>
      <c r="M18" t="s">
        <v>30</v>
      </c>
    </row>
    <row r="19" spans="1:13" x14ac:dyDescent="0.3">
      <c r="A19" t="s">
        <v>75</v>
      </c>
      <c r="B19" s="7">
        <v>45292</v>
      </c>
      <c r="C19" s="8">
        <v>0.46597222222222223</v>
      </c>
      <c r="D19" t="s">
        <v>76</v>
      </c>
      <c r="E19" t="s">
        <v>25</v>
      </c>
      <c r="F19">
        <v>55</v>
      </c>
      <c r="G19" t="s">
        <v>77</v>
      </c>
      <c r="H19" t="s">
        <v>27</v>
      </c>
      <c r="I19" t="s">
        <v>28</v>
      </c>
      <c r="J19">
        <v>10</v>
      </c>
      <c r="K19">
        <v>59</v>
      </c>
      <c r="L19" t="s">
        <v>51</v>
      </c>
      <c r="M19" t="s">
        <v>36</v>
      </c>
    </row>
    <row r="20" spans="1:13" x14ac:dyDescent="0.3">
      <c r="A20" t="s">
        <v>78</v>
      </c>
      <c r="B20" s="7">
        <v>45292</v>
      </c>
      <c r="C20" s="8">
        <v>0.88402777777777775</v>
      </c>
      <c r="D20" t="s">
        <v>79</v>
      </c>
      <c r="E20" t="s">
        <v>25</v>
      </c>
      <c r="F20">
        <v>51</v>
      </c>
      <c r="G20" t="s">
        <v>39</v>
      </c>
      <c r="H20" t="s">
        <v>27</v>
      </c>
      <c r="I20" t="s">
        <v>28</v>
      </c>
      <c r="J20">
        <v>10</v>
      </c>
      <c r="K20">
        <v>60</v>
      </c>
      <c r="L20" t="s">
        <v>51</v>
      </c>
      <c r="M20" t="s">
        <v>36</v>
      </c>
    </row>
    <row r="21" spans="1:13" x14ac:dyDescent="0.3">
      <c r="A21" t="s">
        <v>80</v>
      </c>
      <c r="B21" s="7">
        <v>45292</v>
      </c>
      <c r="C21" s="8">
        <v>0.38055555555555554</v>
      </c>
      <c r="D21" t="s">
        <v>81</v>
      </c>
      <c r="E21" t="s">
        <v>33</v>
      </c>
      <c r="F21">
        <v>17</v>
      </c>
      <c r="G21" t="s">
        <v>26</v>
      </c>
      <c r="H21" t="s">
        <v>27</v>
      </c>
      <c r="I21" t="s">
        <v>28</v>
      </c>
      <c r="J21">
        <v>7</v>
      </c>
      <c r="K21">
        <v>56</v>
      </c>
      <c r="L21" t="s">
        <v>63</v>
      </c>
      <c r="M21" t="s">
        <v>36</v>
      </c>
    </row>
    <row r="22" spans="1:13" x14ac:dyDescent="0.3">
      <c r="A22" t="s">
        <v>82</v>
      </c>
      <c r="B22" s="7">
        <v>45292</v>
      </c>
      <c r="C22" s="8">
        <v>0.2076388888888889</v>
      </c>
      <c r="D22" t="s">
        <v>83</v>
      </c>
      <c r="E22" t="s">
        <v>33</v>
      </c>
      <c r="F22">
        <v>37</v>
      </c>
      <c r="G22" t="s">
        <v>26</v>
      </c>
      <c r="H22" t="s">
        <v>27</v>
      </c>
      <c r="I22" t="s">
        <v>34</v>
      </c>
      <c r="J22">
        <v>5</v>
      </c>
      <c r="K22">
        <v>10</v>
      </c>
      <c r="L22" t="s">
        <v>29</v>
      </c>
      <c r="M22"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B531-CCD9-4672-816D-1BB5398FAEED}">
  <dimension ref="B1:T70"/>
  <sheetViews>
    <sheetView topLeftCell="U15" zoomScale="97" workbookViewId="0">
      <selection activeCell="D3" sqref="D3"/>
    </sheetView>
  </sheetViews>
  <sheetFormatPr defaultRowHeight="14.4" x14ac:dyDescent="0.3"/>
  <cols>
    <col min="2" max="2" width="33.44140625" bestFit="1" customWidth="1"/>
    <col min="3" max="3" width="28.109375" bestFit="1" customWidth="1"/>
    <col min="4" max="4" width="12.88671875" bestFit="1" customWidth="1"/>
    <col min="5" max="5" width="24.6640625" bestFit="1" customWidth="1"/>
    <col min="6" max="6" width="27" bestFit="1" customWidth="1"/>
    <col min="10" max="10" width="11.109375" bestFit="1" customWidth="1"/>
    <col min="11" max="11" width="25.77734375" bestFit="1" customWidth="1"/>
    <col min="13" max="13" width="11.109375" bestFit="1" customWidth="1"/>
    <col min="14" max="14" width="33.44140625" bestFit="1" customWidth="1"/>
    <col min="16" max="16" width="10.77734375" bestFit="1" customWidth="1"/>
    <col min="17" max="17" width="16.21875" customWidth="1"/>
    <col min="18" max="18" width="14.21875" customWidth="1"/>
    <col min="19" max="19" width="13.33203125" customWidth="1"/>
    <col min="20" max="20" width="18.21875" customWidth="1"/>
  </cols>
  <sheetData>
    <row r="1" spans="2:20" x14ac:dyDescent="0.3">
      <c r="J1" t="s">
        <v>9</v>
      </c>
    </row>
    <row r="2" spans="2:20" x14ac:dyDescent="0.3">
      <c r="B2" t="s">
        <v>2</v>
      </c>
      <c r="D2" s="22" t="s">
        <v>8</v>
      </c>
      <c r="E2" s="22"/>
      <c r="J2" s="1" t="s">
        <v>7</v>
      </c>
      <c r="K2" t="s">
        <v>3</v>
      </c>
      <c r="M2" t="s">
        <v>85</v>
      </c>
    </row>
    <row r="3" spans="2:20" x14ac:dyDescent="0.3">
      <c r="B3" t="s">
        <v>0</v>
      </c>
      <c r="D3" s="1" t="s">
        <v>5</v>
      </c>
      <c r="E3" t="s">
        <v>0</v>
      </c>
      <c r="J3" s="3" t="s">
        <v>103</v>
      </c>
      <c r="K3" s="23">
        <v>35.692307692307693</v>
      </c>
      <c r="M3" s="1" t="s">
        <v>7</v>
      </c>
      <c r="N3" t="s">
        <v>4</v>
      </c>
      <c r="Q3" s="1" t="s">
        <v>5</v>
      </c>
      <c r="R3" t="s">
        <v>98</v>
      </c>
      <c r="S3" t="s">
        <v>99</v>
      </c>
    </row>
    <row r="4" spans="2:20" x14ac:dyDescent="0.3">
      <c r="B4" s="23">
        <v>431</v>
      </c>
      <c r="D4" s="3" t="s">
        <v>103</v>
      </c>
      <c r="E4" s="23">
        <v>13</v>
      </c>
      <c r="J4" s="3" t="s">
        <v>104</v>
      </c>
      <c r="K4" s="23">
        <v>45.4</v>
      </c>
      <c r="M4" s="3" t="s">
        <v>103</v>
      </c>
      <c r="N4" s="2">
        <v>4.166666666666667</v>
      </c>
      <c r="Q4" s="3" t="s">
        <v>28</v>
      </c>
      <c r="R4" s="2">
        <v>224</v>
      </c>
      <c r="S4" s="17">
        <v>0.51972157772621808</v>
      </c>
    </row>
    <row r="5" spans="2:20" x14ac:dyDescent="0.3">
      <c r="D5" s="3" t="s">
        <v>104</v>
      </c>
      <c r="E5" s="23">
        <v>10</v>
      </c>
      <c r="J5" s="3" t="s">
        <v>105</v>
      </c>
      <c r="K5" s="23">
        <v>29.375</v>
      </c>
      <c r="M5" s="3" t="s">
        <v>104</v>
      </c>
      <c r="N5" s="2">
        <v>5.75</v>
      </c>
      <c r="Q5" s="3" t="s">
        <v>34</v>
      </c>
      <c r="R5" s="2">
        <v>207</v>
      </c>
      <c r="S5" s="17">
        <v>0.48027842227378192</v>
      </c>
    </row>
    <row r="6" spans="2:20" x14ac:dyDescent="0.3">
      <c r="D6" s="3" t="s">
        <v>105</v>
      </c>
      <c r="E6" s="23">
        <v>8</v>
      </c>
      <c r="J6" s="3" t="s">
        <v>106</v>
      </c>
      <c r="K6" s="23">
        <v>34.583333333333336</v>
      </c>
      <c r="M6" s="3" t="s">
        <v>105</v>
      </c>
      <c r="N6" s="2">
        <v>4.75</v>
      </c>
      <c r="Q6" s="3" t="s">
        <v>6</v>
      </c>
      <c r="R6" s="2">
        <v>431</v>
      </c>
      <c r="S6" s="16">
        <v>1</v>
      </c>
    </row>
    <row r="7" spans="2:20" x14ac:dyDescent="0.3">
      <c r="B7" t="s">
        <v>3</v>
      </c>
      <c r="D7" s="3" t="s">
        <v>106</v>
      </c>
      <c r="E7" s="23">
        <v>12</v>
      </c>
      <c r="J7" s="3" t="s">
        <v>107</v>
      </c>
      <c r="K7" s="23">
        <v>38.684210526315788</v>
      </c>
      <c r="M7" s="3" t="s">
        <v>106</v>
      </c>
      <c r="N7" s="2">
        <v>7</v>
      </c>
    </row>
    <row r="8" spans="2:20" x14ac:dyDescent="0.3">
      <c r="B8" s="2">
        <v>36.670533642691417</v>
      </c>
      <c r="D8" s="3" t="s">
        <v>107</v>
      </c>
      <c r="E8" s="23">
        <v>19</v>
      </c>
      <c r="J8" s="3" t="s">
        <v>108</v>
      </c>
      <c r="K8" s="23">
        <v>34.777777777777779</v>
      </c>
      <c r="M8" s="3" t="s">
        <v>107</v>
      </c>
      <c r="N8" s="2">
        <v>3.1428571428571428</v>
      </c>
    </row>
    <row r="9" spans="2:20" x14ac:dyDescent="0.3">
      <c r="D9" s="3" t="s">
        <v>108</v>
      </c>
      <c r="E9" s="23">
        <v>9</v>
      </c>
      <c r="J9" s="3" t="s">
        <v>109</v>
      </c>
      <c r="K9" s="23">
        <v>37.307692307692307</v>
      </c>
      <c r="M9" s="3" t="s">
        <v>108</v>
      </c>
      <c r="N9" s="2">
        <v>8</v>
      </c>
    </row>
    <row r="10" spans="2:20" x14ac:dyDescent="0.3">
      <c r="D10" s="3" t="s">
        <v>109</v>
      </c>
      <c r="E10" s="23">
        <v>13</v>
      </c>
      <c r="J10" s="3" t="s">
        <v>110</v>
      </c>
      <c r="K10" s="23">
        <v>35.631578947368418</v>
      </c>
      <c r="M10" s="3" t="s">
        <v>109</v>
      </c>
      <c r="N10" s="2">
        <v>5.25</v>
      </c>
    </row>
    <row r="11" spans="2:20" x14ac:dyDescent="0.3">
      <c r="D11" s="3" t="s">
        <v>110</v>
      </c>
      <c r="E11" s="23">
        <v>19</v>
      </c>
      <c r="J11" s="3" t="s">
        <v>111</v>
      </c>
      <c r="K11" s="23">
        <v>36.6</v>
      </c>
      <c r="M11" s="3" t="s">
        <v>110</v>
      </c>
      <c r="N11" s="2">
        <v>4.5714285714285712</v>
      </c>
    </row>
    <row r="12" spans="2:20" x14ac:dyDescent="0.3">
      <c r="B12" t="s">
        <v>4</v>
      </c>
      <c r="D12" s="3" t="s">
        <v>111</v>
      </c>
      <c r="E12" s="23">
        <v>10</v>
      </c>
      <c r="J12" s="3" t="s">
        <v>112</v>
      </c>
      <c r="K12" s="23">
        <v>39.700000000000003</v>
      </c>
      <c r="M12" s="3" t="s">
        <v>111</v>
      </c>
      <c r="N12" s="2">
        <v>2.75</v>
      </c>
    </row>
    <row r="13" spans="2:20" x14ac:dyDescent="0.3">
      <c r="B13" s="2">
        <v>4.7154471544715451</v>
      </c>
      <c r="D13" s="3" t="s">
        <v>112</v>
      </c>
      <c r="E13" s="23">
        <v>20</v>
      </c>
      <c r="J13" s="3" t="s">
        <v>113</v>
      </c>
      <c r="K13" s="23">
        <v>37.4</v>
      </c>
      <c r="M13" s="3" t="s">
        <v>112</v>
      </c>
      <c r="N13" s="2">
        <v>4.5</v>
      </c>
    </row>
    <row r="14" spans="2:20" ht="22.2" customHeight="1" x14ac:dyDescent="0.3">
      <c r="D14" s="3" t="s">
        <v>113</v>
      </c>
      <c r="E14" s="23">
        <v>15</v>
      </c>
      <c r="J14" s="3" t="s">
        <v>114</v>
      </c>
      <c r="K14" s="23">
        <v>27.76923076923077</v>
      </c>
      <c r="M14" s="3" t="s">
        <v>113</v>
      </c>
      <c r="N14" s="2">
        <v>5.5</v>
      </c>
      <c r="Q14" s="18" t="s">
        <v>100</v>
      </c>
      <c r="R14" s="18" t="s">
        <v>2</v>
      </c>
      <c r="S14" s="18" t="s">
        <v>101</v>
      </c>
      <c r="T14" s="18" t="s">
        <v>102</v>
      </c>
    </row>
    <row r="15" spans="2:20" ht="20.399999999999999" customHeight="1" x14ac:dyDescent="0.3">
      <c r="D15" s="3" t="s">
        <v>114</v>
      </c>
      <c r="E15" s="23">
        <v>13</v>
      </c>
      <c r="J15" s="3" t="s">
        <v>115</v>
      </c>
      <c r="K15" s="23">
        <v>38.777777777777779</v>
      </c>
      <c r="M15" s="3" t="s">
        <v>114</v>
      </c>
      <c r="N15" s="2">
        <v>5.6</v>
      </c>
      <c r="Q15" s="19" t="str">
        <f>Q5</f>
        <v>Not Admitted</v>
      </c>
      <c r="R15" s="19">
        <f t="shared" ref="R15:S15" si="0">R5</f>
        <v>207</v>
      </c>
      <c r="S15" s="20">
        <f t="shared" si="0"/>
        <v>0.48027842227378192</v>
      </c>
      <c r="T15" s="21"/>
    </row>
    <row r="16" spans="2:20" ht="18" customHeight="1" x14ac:dyDescent="0.3">
      <c r="D16" s="3" t="s">
        <v>115</v>
      </c>
      <c r="E16" s="23">
        <v>9</v>
      </c>
      <c r="J16" s="3" t="s">
        <v>116</v>
      </c>
      <c r="K16" s="23">
        <v>31</v>
      </c>
      <c r="M16" s="3" t="s">
        <v>115</v>
      </c>
      <c r="N16" s="2">
        <v>5.75</v>
      </c>
      <c r="Q16" s="19" t="str">
        <f>Q4</f>
        <v>Admitted</v>
      </c>
      <c r="R16" s="19">
        <f t="shared" ref="R16:S16" si="1">R4</f>
        <v>224</v>
      </c>
      <c r="S16" s="20">
        <f t="shared" si="1"/>
        <v>0.51972157772621808</v>
      </c>
      <c r="T16" s="21"/>
    </row>
    <row r="17" spans="4:14" x14ac:dyDescent="0.3">
      <c r="D17" s="3" t="s">
        <v>116</v>
      </c>
      <c r="E17" s="23">
        <v>19</v>
      </c>
      <c r="J17" s="3" t="s">
        <v>117</v>
      </c>
      <c r="K17" s="23">
        <v>35.928571428571431</v>
      </c>
      <c r="M17" s="3" t="s">
        <v>116</v>
      </c>
      <c r="N17" s="2">
        <v>3.4444444444444446</v>
      </c>
    </row>
    <row r="18" spans="4:14" x14ac:dyDescent="0.3">
      <c r="D18" s="3" t="s">
        <v>117</v>
      </c>
      <c r="E18" s="23">
        <v>14</v>
      </c>
      <c r="J18" s="3" t="s">
        <v>118</v>
      </c>
      <c r="K18" s="23">
        <v>37.882352941176471</v>
      </c>
      <c r="M18" s="3" t="s">
        <v>117</v>
      </c>
      <c r="N18" s="2">
        <v>1.5</v>
      </c>
    </row>
    <row r="19" spans="4:14" x14ac:dyDescent="0.3">
      <c r="D19" s="3" t="s">
        <v>118</v>
      </c>
      <c r="E19" s="23">
        <v>17</v>
      </c>
      <c r="J19" s="3" t="s">
        <v>119</v>
      </c>
      <c r="K19" s="23">
        <v>40.588235294117645</v>
      </c>
      <c r="M19" s="3" t="s">
        <v>118</v>
      </c>
      <c r="N19" s="2">
        <v>3.6666666666666665</v>
      </c>
    </row>
    <row r="20" spans="4:14" x14ac:dyDescent="0.3">
      <c r="D20" s="3" t="s">
        <v>119</v>
      </c>
      <c r="E20" s="23">
        <v>17</v>
      </c>
      <c r="J20" s="3" t="s">
        <v>120</v>
      </c>
      <c r="K20" s="23">
        <v>34.533333333333331</v>
      </c>
      <c r="M20" s="3" t="s">
        <v>119</v>
      </c>
      <c r="N20" s="2">
        <v>4.4285714285714288</v>
      </c>
    </row>
    <row r="21" spans="4:14" x14ac:dyDescent="0.3">
      <c r="D21" s="3" t="s">
        <v>120</v>
      </c>
      <c r="E21" s="23">
        <v>15</v>
      </c>
      <c r="J21" s="3" t="s">
        <v>121</v>
      </c>
      <c r="K21" s="23">
        <v>40.333333333333336</v>
      </c>
      <c r="M21" s="3" t="s">
        <v>120</v>
      </c>
      <c r="N21" s="2">
        <v>6</v>
      </c>
    </row>
    <row r="22" spans="4:14" x14ac:dyDescent="0.3">
      <c r="D22" s="3" t="s">
        <v>121</v>
      </c>
      <c r="E22" s="23">
        <v>9</v>
      </c>
      <c r="J22" s="3" t="s">
        <v>122</v>
      </c>
      <c r="K22" s="23">
        <v>35.285714285714285</v>
      </c>
      <c r="M22" s="3" t="s">
        <v>121</v>
      </c>
      <c r="N22" s="2">
        <v>2.6666666666666665</v>
      </c>
    </row>
    <row r="23" spans="4:14" x14ac:dyDescent="0.3">
      <c r="D23" s="3" t="s">
        <v>122</v>
      </c>
      <c r="E23" s="23">
        <v>14</v>
      </c>
      <c r="J23" s="3" t="s">
        <v>123</v>
      </c>
      <c r="K23" s="23">
        <v>35.5</v>
      </c>
      <c r="M23" s="3" t="s">
        <v>122</v>
      </c>
      <c r="N23" s="2">
        <v>7.5</v>
      </c>
    </row>
    <row r="24" spans="4:14" x14ac:dyDescent="0.3">
      <c r="D24" s="3" t="s">
        <v>123</v>
      </c>
      <c r="E24" s="23">
        <v>22</v>
      </c>
      <c r="J24" s="3" t="s">
        <v>124</v>
      </c>
      <c r="K24" s="23">
        <v>38.5625</v>
      </c>
      <c r="M24" s="3" t="s">
        <v>123</v>
      </c>
      <c r="N24" s="2">
        <v>4.5</v>
      </c>
    </row>
    <row r="25" spans="4:14" x14ac:dyDescent="0.3">
      <c r="D25" s="3" t="s">
        <v>124</v>
      </c>
      <c r="E25" s="23">
        <v>16</v>
      </c>
      <c r="J25" s="3" t="s">
        <v>125</v>
      </c>
      <c r="K25" s="23">
        <v>42.727272727272727</v>
      </c>
      <c r="M25" s="3" t="s">
        <v>124</v>
      </c>
      <c r="N25" s="2">
        <v>8</v>
      </c>
    </row>
    <row r="26" spans="4:14" x14ac:dyDescent="0.3">
      <c r="D26" s="3" t="s">
        <v>125</v>
      </c>
      <c r="E26" s="23">
        <v>22</v>
      </c>
      <c r="J26" s="3" t="s">
        <v>126</v>
      </c>
      <c r="K26" s="23">
        <v>37.416666666666664</v>
      </c>
      <c r="M26" s="3" t="s">
        <v>125</v>
      </c>
      <c r="N26" s="2">
        <v>4.3636363636363633</v>
      </c>
    </row>
    <row r="27" spans="4:14" x14ac:dyDescent="0.3">
      <c r="D27" s="3" t="s">
        <v>126</v>
      </c>
      <c r="E27" s="23">
        <v>12</v>
      </c>
      <c r="J27" s="3" t="s">
        <v>127</v>
      </c>
      <c r="K27" s="23">
        <v>32.450000000000003</v>
      </c>
      <c r="M27" s="3" t="s">
        <v>126</v>
      </c>
      <c r="N27" s="2">
        <v>0</v>
      </c>
    </row>
    <row r="28" spans="4:14" x14ac:dyDescent="0.3">
      <c r="D28" s="3" t="s">
        <v>127</v>
      </c>
      <c r="E28" s="23">
        <v>20</v>
      </c>
      <c r="J28" s="3" t="s">
        <v>128</v>
      </c>
      <c r="K28" s="23">
        <v>40.055555555555557</v>
      </c>
      <c r="M28" s="3" t="s">
        <v>127</v>
      </c>
      <c r="N28" s="2">
        <v>10</v>
      </c>
    </row>
    <row r="29" spans="4:14" x14ac:dyDescent="0.3">
      <c r="D29" s="3" t="s">
        <v>128</v>
      </c>
      <c r="E29" s="23">
        <v>18</v>
      </c>
      <c r="J29" s="3" t="s">
        <v>129</v>
      </c>
      <c r="K29" s="23">
        <v>31.666666666666668</v>
      </c>
      <c r="M29" s="3" t="s">
        <v>129</v>
      </c>
      <c r="N29" s="2">
        <v>6.75</v>
      </c>
    </row>
    <row r="30" spans="4:14" x14ac:dyDescent="0.3">
      <c r="D30" s="3" t="s">
        <v>129</v>
      </c>
      <c r="E30" s="23">
        <v>18</v>
      </c>
      <c r="J30" s="3" t="s">
        <v>130</v>
      </c>
      <c r="K30" s="23">
        <v>39.769230769230766</v>
      </c>
      <c r="M30" s="3" t="s">
        <v>130</v>
      </c>
      <c r="N30" s="2">
        <v>7</v>
      </c>
    </row>
    <row r="31" spans="4:14" x14ac:dyDescent="0.3">
      <c r="D31" s="3" t="s">
        <v>130</v>
      </c>
      <c r="E31" s="23">
        <v>13</v>
      </c>
      <c r="J31" s="3" t="s">
        <v>131</v>
      </c>
      <c r="K31" s="23">
        <v>36.733333333333334</v>
      </c>
      <c r="M31" s="3" t="s">
        <v>131</v>
      </c>
      <c r="N31" s="2">
        <v>3.3333333333333335</v>
      </c>
    </row>
    <row r="32" spans="4:14" x14ac:dyDescent="0.3">
      <c r="D32" s="3" t="s">
        <v>131</v>
      </c>
      <c r="E32" s="23">
        <v>15</v>
      </c>
      <c r="J32" s="3" t="s">
        <v>6</v>
      </c>
      <c r="K32" s="2">
        <v>36.670533642691417</v>
      </c>
      <c r="M32" s="3" t="s">
        <v>6</v>
      </c>
      <c r="N32" s="2">
        <v>4.7154471544715451</v>
      </c>
    </row>
    <row r="33" spans="2:5" x14ac:dyDescent="0.3">
      <c r="D33" s="3" t="s">
        <v>6</v>
      </c>
      <c r="E33" s="23">
        <v>431</v>
      </c>
    </row>
    <row r="44" spans="2:5" ht="24" customHeight="1" x14ac:dyDescent="0.3">
      <c r="B44" s="13"/>
      <c r="C44" s="13"/>
      <c r="D44" s="13"/>
      <c r="E44" s="13"/>
    </row>
    <row r="45" spans="2:5" ht="20.399999999999999" customHeight="1" x14ac:dyDescent="0.3">
      <c r="B45" s="14"/>
      <c r="C45" s="14"/>
      <c r="D45" s="15"/>
    </row>
    <row r="46" spans="2:5" ht="20.399999999999999" customHeight="1" x14ac:dyDescent="0.3">
      <c r="B46" s="14"/>
      <c r="C46" s="14"/>
      <c r="D46" s="15"/>
    </row>
    <row r="48" spans="2:5" x14ac:dyDescent="0.3">
      <c r="B48" t="s">
        <v>90</v>
      </c>
      <c r="E48" t="s">
        <v>91</v>
      </c>
    </row>
    <row r="49" spans="2:6" x14ac:dyDescent="0.3">
      <c r="B49" s="1" t="s">
        <v>5</v>
      </c>
      <c r="C49" t="s">
        <v>89</v>
      </c>
      <c r="E49" s="1" t="s">
        <v>5</v>
      </c>
      <c r="F49" t="s">
        <v>86</v>
      </c>
    </row>
    <row r="50" spans="2:6" x14ac:dyDescent="0.3">
      <c r="B50" s="3" t="s">
        <v>40</v>
      </c>
      <c r="C50" s="12">
        <v>42</v>
      </c>
      <c r="E50" s="3" t="s">
        <v>36</v>
      </c>
      <c r="F50" s="12">
        <v>283</v>
      </c>
    </row>
    <row r="51" spans="2:6" x14ac:dyDescent="0.3">
      <c r="B51" s="3" t="s">
        <v>63</v>
      </c>
      <c r="C51" s="12">
        <v>46</v>
      </c>
      <c r="E51" s="3" t="s">
        <v>30</v>
      </c>
      <c r="F51" s="12">
        <v>148</v>
      </c>
    </row>
    <row r="52" spans="2:6" x14ac:dyDescent="0.3">
      <c r="B52" s="3" t="s">
        <v>35</v>
      </c>
      <c r="C52" s="12">
        <v>54</v>
      </c>
      <c r="E52" s="3" t="s">
        <v>6</v>
      </c>
      <c r="F52" s="2">
        <v>431</v>
      </c>
    </row>
    <row r="53" spans="2:6" x14ac:dyDescent="0.3">
      <c r="B53" s="3" t="s">
        <v>29</v>
      </c>
      <c r="C53" s="12">
        <v>68</v>
      </c>
    </row>
    <row r="54" spans="2:6" x14ac:dyDescent="0.3">
      <c r="B54" s="3" t="s">
        <v>87</v>
      </c>
      <c r="C54" s="12">
        <v>62</v>
      </c>
    </row>
    <row r="55" spans="2:6" x14ac:dyDescent="0.3">
      <c r="B55" s="3" t="s">
        <v>51</v>
      </c>
      <c r="C55" s="12">
        <v>52</v>
      </c>
      <c r="E55" s="1" t="s">
        <v>5</v>
      </c>
      <c r="F55" t="s">
        <v>92</v>
      </c>
    </row>
    <row r="56" spans="2:6" x14ac:dyDescent="0.3">
      <c r="B56" s="3" t="s">
        <v>45</v>
      </c>
      <c r="C56" s="12">
        <v>54</v>
      </c>
      <c r="E56" s="3" t="s">
        <v>33</v>
      </c>
      <c r="F56" s="2">
        <v>194</v>
      </c>
    </row>
    <row r="57" spans="2:6" x14ac:dyDescent="0.3">
      <c r="B57" s="3" t="s">
        <v>88</v>
      </c>
      <c r="C57" s="12">
        <v>53</v>
      </c>
      <c r="E57" s="3" t="s">
        <v>25</v>
      </c>
      <c r="F57" s="2">
        <v>237</v>
      </c>
    </row>
    <row r="58" spans="2:6" x14ac:dyDescent="0.3">
      <c r="B58" s="3" t="s">
        <v>6</v>
      </c>
      <c r="C58" s="2">
        <v>431</v>
      </c>
      <c r="E58" s="3" t="s">
        <v>6</v>
      </c>
      <c r="F58" s="2">
        <v>431</v>
      </c>
    </row>
    <row r="61" spans="2:6" x14ac:dyDescent="0.3">
      <c r="E61" s="1" t="s">
        <v>5</v>
      </c>
      <c r="F61" t="s">
        <v>96</v>
      </c>
    </row>
    <row r="62" spans="2:6" x14ac:dyDescent="0.3">
      <c r="B62" s="1" t="s">
        <v>5</v>
      </c>
      <c r="E62" s="3" t="s">
        <v>62</v>
      </c>
      <c r="F62" s="12">
        <v>12</v>
      </c>
    </row>
    <row r="63" spans="2:6" x14ac:dyDescent="0.3">
      <c r="B63" s="3" t="s">
        <v>97</v>
      </c>
      <c r="E63" s="3" t="s">
        <v>93</v>
      </c>
      <c r="F63" s="12">
        <v>6</v>
      </c>
    </row>
    <row r="64" spans="2:6" x14ac:dyDescent="0.3">
      <c r="B64" s="3" t="s">
        <v>6</v>
      </c>
      <c r="E64" s="3" t="s">
        <v>54</v>
      </c>
      <c r="F64" s="12">
        <v>89</v>
      </c>
    </row>
    <row r="65" spans="5:6" x14ac:dyDescent="0.3">
      <c r="E65" s="3" t="s">
        <v>69</v>
      </c>
      <c r="F65" s="12">
        <v>6</v>
      </c>
    </row>
    <row r="66" spans="5:6" x14ac:dyDescent="0.3">
      <c r="E66" s="3" t="s">
        <v>27</v>
      </c>
      <c r="F66" s="12">
        <v>252</v>
      </c>
    </row>
    <row r="67" spans="5:6" x14ac:dyDescent="0.3">
      <c r="E67" s="3" t="s">
        <v>57</v>
      </c>
      <c r="F67" s="12">
        <v>46</v>
      </c>
    </row>
    <row r="68" spans="5:6" x14ac:dyDescent="0.3">
      <c r="E68" s="3" t="s">
        <v>94</v>
      </c>
      <c r="F68" s="12">
        <v>14</v>
      </c>
    </row>
    <row r="69" spans="5:6" x14ac:dyDescent="0.3">
      <c r="E69" s="3" t="s">
        <v>95</v>
      </c>
      <c r="F69" s="12">
        <v>6</v>
      </c>
    </row>
    <row r="70" spans="5:6" x14ac:dyDescent="0.3">
      <c r="E70" s="3" t="s">
        <v>6</v>
      </c>
      <c r="F70" s="12">
        <v>431</v>
      </c>
    </row>
  </sheetData>
  <mergeCells count="1">
    <mergeCell ref="D2:E2"/>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2F60-5BFF-46C0-A4D2-1DC0C78CBA33}">
  <dimension ref="A1:R23"/>
  <sheetViews>
    <sheetView workbookViewId="0"/>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96B1E-F074-402D-BA14-652B0BAF77A7}">
  <dimension ref="A1:T27"/>
  <sheetViews>
    <sheetView tabSelected="1" zoomScale="91" zoomScaleNormal="100" workbookViewId="0"/>
  </sheetViews>
  <sheetFormatPr defaultRowHeight="14.4" x14ac:dyDescent="0.3"/>
  <sheetData>
    <row r="1" spans="1:20" x14ac:dyDescent="0.3">
      <c r="A1" s="4"/>
      <c r="B1" s="4"/>
      <c r="C1" s="4"/>
      <c r="D1" s="4"/>
      <c r="E1" s="4"/>
      <c r="F1" s="4"/>
      <c r="G1" s="4"/>
      <c r="H1" s="4"/>
      <c r="I1" s="4"/>
      <c r="J1" s="4"/>
      <c r="K1" s="4"/>
      <c r="L1" s="4"/>
      <c r="M1" s="4"/>
      <c r="N1" s="4"/>
      <c r="O1" s="4"/>
      <c r="P1" s="4"/>
      <c r="Q1" s="5"/>
      <c r="R1" s="5"/>
      <c r="S1" s="5"/>
      <c r="T1" s="5"/>
    </row>
    <row r="2" spans="1:20" x14ac:dyDescent="0.3">
      <c r="A2" s="4"/>
      <c r="B2" s="4"/>
      <c r="C2" s="4"/>
      <c r="D2" s="4"/>
      <c r="E2" s="4"/>
      <c r="F2" s="4"/>
      <c r="G2" s="4"/>
      <c r="H2" s="4"/>
      <c r="I2" s="4"/>
      <c r="J2" s="4"/>
      <c r="K2" s="4"/>
      <c r="L2" s="4"/>
      <c r="M2" s="4"/>
      <c r="N2" s="4"/>
      <c r="O2" s="4"/>
      <c r="P2" s="4"/>
      <c r="Q2" s="5"/>
      <c r="R2" s="5"/>
      <c r="S2" s="5"/>
      <c r="T2" s="5"/>
    </row>
    <row r="3" spans="1:20" x14ac:dyDescent="0.3">
      <c r="A3" s="4"/>
      <c r="B3" s="4"/>
      <c r="C3" s="4"/>
      <c r="D3" s="4"/>
      <c r="E3" s="4"/>
      <c r="F3" s="4"/>
      <c r="G3" s="4"/>
      <c r="H3" s="4"/>
      <c r="I3" s="4"/>
      <c r="J3" s="4"/>
      <c r="K3" s="4"/>
      <c r="L3" s="4"/>
      <c r="M3" s="4"/>
      <c r="N3" s="4"/>
      <c r="O3" s="4"/>
      <c r="P3" s="4"/>
      <c r="Q3" s="5"/>
      <c r="R3" s="5"/>
      <c r="S3" s="5"/>
      <c r="T3" s="5"/>
    </row>
    <row r="4" spans="1:20" x14ac:dyDescent="0.3">
      <c r="A4" s="4"/>
      <c r="B4" s="4"/>
      <c r="C4" s="4"/>
      <c r="D4" s="4"/>
      <c r="E4" s="4"/>
      <c r="F4" s="4"/>
      <c r="G4" s="4"/>
      <c r="H4" s="4"/>
      <c r="I4" s="4"/>
      <c r="J4" s="4"/>
      <c r="K4" s="4"/>
      <c r="L4" s="4"/>
      <c r="M4" s="4"/>
      <c r="N4" s="4"/>
      <c r="O4" s="4"/>
      <c r="P4" s="4"/>
      <c r="Q4" s="5"/>
      <c r="R4" s="5"/>
      <c r="S4" s="5"/>
      <c r="T4" s="5"/>
    </row>
    <row r="5" spans="1:20" x14ac:dyDescent="0.3">
      <c r="A5" s="4"/>
      <c r="B5" s="4"/>
      <c r="C5" s="4"/>
      <c r="D5" s="4"/>
      <c r="E5" s="4"/>
      <c r="F5" s="4"/>
      <c r="G5" s="4"/>
      <c r="H5" s="4"/>
      <c r="I5" s="4"/>
      <c r="J5" s="4"/>
      <c r="K5" s="4"/>
      <c r="L5" s="4"/>
      <c r="M5" s="4"/>
      <c r="N5" s="4"/>
      <c r="O5" s="4"/>
      <c r="P5" s="4"/>
      <c r="Q5" s="5"/>
      <c r="R5" s="5"/>
      <c r="S5" s="5"/>
      <c r="T5" s="5"/>
    </row>
    <row r="6" spans="1:20" x14ac:dyDescent="0.3">
      <c r="A6" s="4"/>
      <c r="B6" s="4"/>
      <c r="C6" s="4"/>
      <c r="D6" s="4"/>
      <c r="E6" s="4"/>
      <c r="F6" s="4"/>
      <c r="G6" s="4"/>
      <c r="H6" s="4"/>
      <c r="I6" s="4"/>
      <c r="J6" s="4"/>
      <c r="K6" s="4"/>
      <c r="L6" s="4"/>
      <c r="M6" s="4"/>
      <c r="N6" s="4"/>
      <c r="O6" s="4"/>
      <c r="P6" s="4"/>
      <c r="Q6" s="5"/>
      <c r="R6" s="5"/>
      <c r="S6" s="5"/>
      <c r="T6" s="5"/>
    </row>
    <row r="7" spans="1:20" x14ac:dyDescent="0.3">
      <c r="A7" s="4"/>
      <c r="B7" s="4"/>
      <c r="C7" s="4"/>
      <c r="D7" s="4"/>
      <c r="E7" s="4"/>
      <c r="F7" s="4"/>
      <c r="G7" s="4"/>
      <c r="H7" s="4"/>
      <c r="I7" s="4"/>
      <c r="J7" s="4"/>
      <c r="K7" s="4"/>
      <c r="L7" s="4"/>
      <c r="M7" s="4"/>
      <c r="N7" s="4"/>
      <c r="O7" s="4"/>
      <c r="P7" s="4"/>
      <c r="Q7" s="5"/>
      <c r="R7" s="5"/>
      <c r="S7" s="5"/>
      <c r="T7" s="5"/>
    </row>
    <row r="8" spans="1:20" x14ac:dyDescent="0.3">
      <c r="A8" s="4"/>
      <c r="B8" s="4"/>
      <c r="C8" s="4"/>
      <c r="D8" s="4"/>
      <c r="E8" s="4"/>
      <c r="F8" s="4"/>
      <c r="G8" s="4"/>
      <c r="H8" s="4"/>
      <c r="I8" s="4"/>
      <c r="J8" s="4"/>
      <c r="K8" s="4"/>
      <c r="L8" s="4"/>
      <c r="M8" s="4"/>
      <c r="N8" s="4"/>
      <c r="O8" s="4"/>
      <c r="P8" s="4"/>
      <c r="Q8" s="5"/>
      <c r="R8" s="5"/>
      <c r="S8" s="5"/>
      <c r="T8" s="5"/>
    </row>
    <row r="9" spans="1:20" x14ac:dyDescent="0.3">
      <c r="A9" s="4"/>
      <c r="B9" s="4"/>
      <c r="C9" s="4"/>
      <c r="D9" s="4"/>
      <c r="E9" s="4"/>
      <c r="F9" s="4"/>
      <c r="G9" s="4"/>
      <c r="H9" s="4"/>
      <c r="I9" s="4"/>
      <c r="J9" s="4"/>
      <c r="K9" s="4"/>
      <c r="L9" s="4"/>
      <c r="M9" s="4"/>
      <c r="N9" s="4"/>
      <c r="O9" s="4"/>
      <c r="P9" s="4"/>
      <c r="Q9" s="5"/>
      <c r="R9" s="5"/>
      <c r="S9" s="5"/>
      <c r="T9" s="5"/>
    </row>
    <row r="10" spans="1:20" x14ac:dyDescent="0.3">
      <c r="A10" s="4"/>
      <c r="B10" s="4"/>
      <c r="C10" s="4"/>
      <c r="D10" s="4"/>
      <c r="E10" s="4"/>
      <c r="F10" s="4"/>
      <c r="G10" s="4"/>
      <c r="H10" s="4"/>
      <c r="I10" s="4"/>
      <c r="J10" s="4"/>
      <c r="K10" s="4"/>
      <c r="L10" s="4"/>
      <c r="M10" s="4"/>
      <c r="N10" s="4"/>
      <c r="O10" s="4"/>
      <c r="P10" s="4"/>
      <c r="Q10" s="5"/>
      <c r="R10" s="5"/>
      <c r="S10" s="5"/>
      <c r="T10" s="5"/>
    </row>
    <row r="11" spans="1:20" x14ac:dyDescent="0.3">
      <c r="A11" s="4"/>
      <c r="B11" s="4"/>
      <c r="C11" s="4"/>
      <c r="D11" s="4"/>
      <c r="E11" s="4"/>
      <c r="F11" s="4"/>
      <c r="G11" s="4"/>
      <c r="H11" s="4"/>
      <c r="I11" s="4"/>
      <c r="J11" s="4"/>
      <c r="K11" s="4"/>
      <c r="L11" s="4"/>
      <c r="M11" s="4"/>
      <c r="N11" s="4"/>
      <c r="O11" s="4"/>
      <c r="P11" s="4"/>
      <c r="Q11" s="5"/>
      <c r="R11" s="5"/>
      <c r="S11" s="5"/>
      <c r="T11" s="5"/>
    </row>
    <row r="12" spans="1:20" x14ac:dyDescent="0.3">
      <c r="A12" s="4"/>
      <c r="B12" s="4"/>
      <c r="C12" s="4"/>
      <c r="D12" s="4"/>
      <c r="E12" s="4"/>
      <c r="F12" s="4"/>
      <c r="G12" s="4"/>
      <c r="H12" s="4"/>
      <c r="I12" s="4"/>
      <c r="J12" s="4"/>
      <c r="K12" s="4"/>
      <c r="L12" s="4"/>
      <c r="M12" s="4"/>
      <c r="N12" s="4"/>
      <c r="O12" s="4"/>
      <c r="P12" s="4"/>
      <c r="Q12" s="5"/>
      <c r="R12" s="5"/>
      <c r="S12" s="5"/>
      <c r="T12" s="5"/>
    </row>
    <row r="13" spans="1:20" x14ac:dyDescent="0.3">
      <c r="A13" s="4"/>
      <c r="B13" s="4"/>
      <c r="C13" s="4"/>
      <c r="D13" s="4"/>
      <c r="E13" s="4"/>
      <c r="F13" s="4"/>
      <c r="G13" s="4"/>
      <c r="H13" s="4"/>
      <c r="I13" s="4"/>
      <c r="J13" s="4"/>
      <c r="K13" s="4"/>
      <c r="L13" s="4"/>
      <c r="M13" s="4"/>
      <c r="N13" s="4"/>
      <c r="O13" s="4"/>
      <c r="P13" s="4"/>
      <c r="R13" s="5"/>
      <c r="S13" s="5"/>
      <c r="T13" s="5"/>
    </row>
    <row r="14" spans="1:20" x14ac:dyDescent="0.3">
      <c r="A14" s="4"/>
      <c r="B14" s="4"/>
      <c r="C14" s="4"/>
      <c r="D14" s="4"/>
      <c r="E14" s="4"/>
      <c r="F14" s="4"/>
      <c r="G14" s="4"/>
      <c r="H14" s="4"/>
      <c r="I14" s="4"/>
      <c r="J14" s="4"/>
      <c r="K14" s="4"/>
      <c r="L14" s="4"/>
      <c r="M14" s="4"/>
      <c r="N14" s="4"/>
      <c r="O14" s="4"/>
      <c r="P14" s="4"/>
      <c r="Q14" s="5"/>
      <c r="R14" s="5"/>
      <c r="S14" s="5"/>
      <c r="T14" s="5"/>
    </row>
    <row r="15" spans="1:20" x14ac:dyDescent="0.3">
      <c r="A15" s="4"/>
      <c r="B15" s="4"/>
      <c r="C15" s="4"/>
      <c r="D15" s="4"/>
      <c r="E15" s="4"/>
      <c r="F15" s="4"/>
      <c r="G15" s="4"/>
      <c r="H15" s="4"/>
      <c r="I15" s="4"/>
      <c r="J15" s="4"/>
      <c r="K15" s="4"/>
      <c r="L15" s="4"/>
      <c r="M15" s="4"/>
      <c r="N15" s="4"/>
      <c r="O15" s="4"/>
      <c r="P15" s="4"/>
      <c r="Q15" s="5"/>
      <c r="R15" s="5"/>
      <c r="S15" s="5"/>
      <c r="T15" s="5"/>
    </row>
    <row r="16" spans="1:20" x14ac:dyDescent="0.3">
      <c r="A16" s="4"/>
      <c r="B16" s="4"/>
      <c r="C16" s="4"/>
      <c r="D16" s="4"/>
      <c r="E16" s="4"/>
      <c r="F16" s="4"/>
      <c r="G16" s="4"/>
      <c r="H16" s="4"/>
      <c r="I16" s="4"/>
      <c r="J16" s="4"/>
      <c r="K16" s="4"/>
      <c r="L16" s="4"/>
      <c r="M16" s="4"/>
      <c r="N16" s="4"/>
      <c r="O16" s="4"/>
      <c r="P16" s="4"/>
      <c r="Q16" s="5"/>
      <c r="R16" s="5"/>
      <c r="S16" s="5"/>
      <c r="T16" s="5"/>
    </row>
    <row r="17" spans="1:20" x14ac:dyDescent="0.3">
      <c r="A17" s="4"/>
      <c r="B17" s="4"/>
      <c r="C17" s="4"/>
      <c r="D17" s="4"/>
      <c r="E17" s="4"/>
      <c r="F17" s="4"/>
      <c r="G17" s="4"/>
      <c r="H17" s="4"/>
      <c r="I17" s="4"/>
      <c r="J17" s="4"/>
      <c r="K17" s="4"/>
      <c r="L17" s="4"/>
      <c r="M17" s="4"/>
      <c r="N17" s="4"/>
      <c r="O17" s="4"/>
      <c r="P17" s="4"/>
      <c r="Q17" s="5"/>
      <c r="R17" s="5"/>
      <c r="S17" s="5"/>
      <c r="T17" s="5"/>
    </row>
    <row r="18" spans="1:20" x14ac:dyDescent="0.3">
      <c r="A18" s="4"/>
      <c r="B18" s="4"/>
      <c r="C18" s="4"/>
      <c r="D18" s="4"/>
      <c r="E18" s="4"/>
      <c r="F18" s="4"/>
      <c r="G18" s="4"/>
      <c r="H18" s="4"/>
      <c r="I18" s="4"/>
      <c r="J18" s="4"/>
      <c r="K18" s="4"/>
      <c r="L18" s="4"/>
      <c r="M18" s="4"/>
      <c r="N18" s="4"/>
      <c r="O18" s="4"/>
      <c r="P18" s="4"/>
      <c r="Q18" s="5"/>
      <c r="R18" s="5"/>
      <c r="S18" s="5"/>
      <c r="T18" s="5"/>
    </row>
    <row r="19" spans="1:20" x14ac:dyDescent="0.3">
      <c r="A19" s="4"/>
      <c r="B19" s="4"/>
      <c r="C19" s="4"/>
      <c r="D19" s="4"/>
      <c r="E19" s="4"/>
      <c r="F19" s="4"/>
      <c r="G19" s="4"/>
      <c r="H19" s="4"/>
      <c r="I19" s="4"/>
      <c r="J19" s="4"/>
      <c r="K19" s="4"/>
      <c r="L19" s="4"/>
      <c r="M19" s="4"/>
      <c r="N19" s="4"/>
      <c r="O19" s="4"/>
      <c r="P19" s="4"/>
      <c r="Q19" s="5"/>
      <c r="R19" s="5"/>
      <c r="S19" s="5"/>
      <c r="T19" s="5"/>
    </row>
    <row r="20" spans="1:20" x14ac:dyDescent="0.3">
      <c r="A20" s="4"/>
      <c r="B20" s="4"/>
      <c r="C20" s="4"/>
      <c r="D20" s="4"/>
      <c r="E20" s="4"/>
      <c r="F20" s="4"/>
      <c r="G20" s="4"/>
      <c r="H20" s="4"/>
      <c r="I20" s="4"/>
      <c r="J20" s="4"/>
      <c r="K20" s="4"/>
      <c r="L20" s="4"/>
      <c r="M20" s="4"/>
      <c r="N20" s="4"/>
      <c r="O20" s="4"/>
      <c r="P20" s="4"/>
      <c r="Q20" s="5"/>
      <c r="R20" s="5"/>
      <c r="S20" s="5"/>
      <c r="T20" s="5"/>
    </row>
    <row r="21" spans="1:20" x14ac:dyDescent="0.3">
      <c r="A21" s="4"/>
      <c r="B21" s="4"/>
      <c r="C21" s="4"/>
      <c r="D21" s="4"/>
      <c r="E21" s="4"/>
      <c r="F21" s="4"/>
      <c r="G21" s="4"/>
      <c r="H21" s="4"/>
      <c r="I21" s="4"/>
      <c r="J21" s="4"/>
      <c r="K21" s="4"/>
      <c r="L21" s="4"/>
      <c r="M21" s="4"/>
      <c r="N21" s="4"/>
      <c r="O21" s="4"/>
      <c r="P21" s="4"/>
      <c r="Q21" s="5"/>
      <c r="R21" s="5"/>
      <c r="S21" s="5"/>
      <c r="T21" s="5"/>
    </row>
    <row r="22" spans="1:20" x14ac:dyDescent="0.3">
      <c r="A22" s="4"/>
      <c r="B22" s="4"/>
      <c r="C22" s="4"/>
      <c r="D22" s="4"/>
      <c r="E22" s="4"/>
      <c r="F22" s="4"/>
      <c r="G22" s="4"/>
      <c r="H22" s="4"/>
      <c r="I22" s="4"/>
      <c r="J22" s="4"/>
      <c r="K22" s="4"/>
      <c r="L22" s="4"/>
      <c r="M22" s="4"/>
      <c r="N22" s="4"/>
      <c r="O22" s="4"/>
      <c r="P22" s="4"/>
      <c r="Q22" s="5"/>
      <c r="R22" s="5"/>
      <c r="S22" s="5"/>
      <c r="T22" s="5"/>
    </row>
    <row r="23" spans="1:20" x14ac:dyDescent="0.3">
      <c r="A23" s="4"/>
      <c r="B23" s="4"/>
      <c r="C23" s="4"/>
      <c r="D23" s="4"/>
      <c r="E23" s="4"/>
      <c r="F23" s="4"/>
      <c r="G23" s="4"/>
      <c r="H23" s="4"/>
      <c r="I23" s="4"/>
      <c r="J23" s="4"/>
      <c r="K23" s="4"/>
      <c r="L23" s="4"/>
      <c r="M23" s="4"/>
      <c r="N23" s="4"/>
      <c r="O23" s="4"/>
      <c r="P23" s="4"/>
      <c r="Q23" s="5"/>
      <c r="R23" s="5"/>
      <c r="S23" s="5"/>
      <c r="T23" s="5"/>
    </row>
    <row r="24" spans="1:20" x14ac:dyDescent="0.3">
      <c r="A24" s="4"/>
      <c r="B24" s="4"/>
      <c r="C24" s="4"/>
      <c r="D24" s="4"/>
      <c r="E24" s="4"/>
      <c r="F24" s="4"/>
      <c r="G24" s="4"/>
      <c r="H24" s="4"/>
      <c r="I24" s="4"/>
      <c r="J24" s="4"/>
      <c r="K24" s="4"/>
      <c r="L24" s="4"/>
      <c r="M24" s="4"/>
      <c r="N24" s="4"/>
      <c r="O24" s="4"/>
      <c r="P24" s="4"/>
      <c r="Q24" s="5"/>
      <c r="R24" s="5"/>
      <c r="S24" s="5"/>
      <c r="T24" s="5"/>
    </row>
    <row r="25" spans="1:20" x14ac:dyDescent="0.3">
      <c r="A25" s="4"/>
      <c r="B25" s="4"/>
      <c r="C25" s="4"/>
      <c r="D25" s="4"/>
      <c r="E25" s="4"/>
      <c r="F25" s="4"/>
      <c r="G25" s="4"/>
      <c r="H25" s="4"/>
      <c r="I25" s="4"/>
      <c r="J25" s="4"/>
      <c r="K25" s="4"/>
      <c r="L25" s="4"/>
      <c r="M25" s="4"/>
      <c r="N25" s="4"/>
      <c r="O25" s="4"/>
      <c r="P25" s="4"/>
      <c r="Q25" s="5"/>
      <c r="R25" s="5"/>
      <c r="S25" s="5"/>
      <c r="T25" s="5"/>
    </row>
    <row r="26" spans="1:20" x14ac:dyDescent="0.3">
      <c r="A26" s="4"/>
      <c r="B26" s="4"/>
      <c r="C26" s="4"/>
      <c r="D26" s="4"/>
      <c r="E26" s="4"/>
      <c r="F26" s="4"/>
      <c r="G26" s="4"/>
      <c r="H26" s="4"/>
      <c r="I26" s="4"/>
      <c r="J26" s="4"/>
      <c r="K26" s="4"/>
      <c r="L26" s="4"/>
      <c r="M26" s="4"/>
      <c r="N26" s="4"/>
      <c r="O26" s="4"/>
      <c r="P26" s="4"/>
      <c r="Q26" s="5"/>
      <c r="R26" s="5"/>
      <c r="S26" s="5"/>
      <c r="T26" s="5"/>
    </row>
    <row r="27" spans="1:20" x14ac:dyDescent="0.3">
      <c r="A27" s="4"/>
      <c r="B27" s="4"/>
      <c r="C27" s="4"/>
      <c r="D27" s="4"/>
      <c r="E27" s="4"/>
      <c r="F27" s="4"/>
      <c r="G27" s="4"/>
      <c r="H27" s="4"/>
      <c r="I27" s="4"/>
      <c r="J27" s="4"/>
      <c r="K27" s="4"/>
      <c r="L27" s="4"/>
      <c r="M27" s="4"/>
      <c r="N27" s="4"/>
      <c r="O27" s="4"/>
      <c r="P27" s="4"/>
      <c r="Q27" s="5"/>
      <c r="R27" s="5"/>
      <c r="S27" s="5"/>
      <c r="T27"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A74F9-AFF8-4E37-9625-C55EA159EDBF}">
  <dimension ref="A1:Q22"/>
  <sheetViews>
    <sheetView workbookViewId="0"/>
  </sheetViews>
  <sheetFormatPr defaultRowHeight="14.4" x14ac:dyDescent="0.3"/>
  <sheetData>
    <row r="1" spans="1:17" x14ac:dyDescent="0.3">
      <c r="A1" s="10"/>
      <c r="B1" s="10"/>
      <c r="C1" s="10"/>
      <c r="D1" s="10"/>
      <c r="E1" s="10"/>
      <c r="F1" s="10"/>
      <c r="G1" s="10"/>
      <c r="H1" s="10"/>
      <c r="I1" s="10"/>
      <c r="J1" s="10"/>
      <c r="K1" s="10"/>
      <c r="L1" s="10"/>
      <c r="M1" s="10"/>
      <c r="N1" s="10"/>
      <c r="O1" s="10"/>
      <c r="P1" s="10"/>
      <c r="Q1" s="10"/>
    </row>
    <row r="2" spans="1:17" x14ac:dyDescent="0.3">
      <c r="A2" s="10"/>
      <c r="B2" s="10"/>
      <c r="C2" s="10"/>
      <c r="D2" s="10"/>
      <c r="E2" s="10"/>
      <c r="F2" s="10"/>
      <c r="G2" s="10"/>
      <c r="H2" s="10"/>
      <c r="I2" s="10"/>
      <c r="J2" s="10"/>
      <c r="K2" s="10"/>
      <c r="L2" s="10"/>
      <c r="M2" s="10"/>
      <c r="N2" s="10"/>
      <c r="O2" s="10"/>
      <c r="P2" s="10"/>
      <c r="Q2" s="10"/>
    </row>
    <row r="3" spans="1:17" x14ac:dyDescent="0.3">
      <c r="A3" s="10"/>
      <c r="B3" s="10"/>
      <c r="C3" s="10"/>
      <c r="D3" s="10"/>
      <c r="E3" s="10"/>
      <c r="F3" s="10"/>
      <c r="G3" s="10"/>
      <c r="H3" s="10"/>
      <c r="I3" s="10"/>
      <c r="J3" s="10"/>
      <c r="K3" s="10"/>
      <c r="L3" s="10"/>
      <c r="M3" s="10"/>
      <c r="N3" s="10"/>
      <c r="O3" s="10"/>
      <c r="P3" s="10"/>
      <c r="Q3" s="10"/>
    </row>
    <row r="4" spans="1:17" x14ac:dyDescent="0.3">
      <c r="A4" s="10"/>
      <c r="B4" s="10"/>
      <c r="C4" s="10"/>
      <c r="D4" s="10"/>
      <c r="E4" s="10"/>
      <c r="F4" s="10"/>
      <c r="G4" s="10"/>
      <c r="H4" s="10"/>
      <c r="I4" s="10"/>
      <c r="J4" s="10"/>
      <c r="K4" s="10"/>
      <c r="L4" s="10"/>
      <c r="M4" s="10"/>
      <c r="N4" s="10"/>
      <c r="O4" s="10"/>
      <c r="P4" s="10"/>
      <c r="Q4" s="10"/>
    </row>
    <row r="5" spans="1:17" x14ac:dyDescent="0.3">
      <c r="A5" s="10"/>
      <c r="B5" s="10"/>
      <c r="C5" s="10"/>
      <c r="D5" s="10"/>
      <c r="E5" s="10"/>
      <c r="F5" s="10"/>
      <c r="G5" s="10"/>
      <c r="H5" s="10"/>
      <c r="I5" s="10"/>
      <c r="J5" s="10"/>
      <c r="K5" s="10"/>
      <c r="L5" s="10"/>
      <c r="M5" s="10"/>
      <c r="N5" s="10"/>
      <c r="O5" s="10"/>
      <c r="P5" s="10"/>
      <c r="Q5" s="10"/>
    </row>
    <row r="6" spans="1:17" x14ac:dyDescent="0.3">
      <c r="A6" s="10"/>
      <c r="B6" s="10"/>
      <c r="C6" s="10"/>
      <c r="D6" s="10"/>
      <c r="E6" s="10"/>
      <c r="F6" s="10"/>
      <c r="G6" s="10"/>
      <c r="H6" s="10"/>
      <c r="I6" s="10"/>
      <c r="J6" s="10"/>
      <c r="K6" s="10"/>
      <c r="L6" s="10"/>
      <c r="M6" s="10"/>
      <c r="N6" s="10"/>
      <c r="O6" s="10"/>
      <c r="P6" s="10"/>
      <c r="Q6" s="10"/>
    </row>
    <row r="7" spans="1:17" x14ac:dyDescent="0.3">
      <c r="A7" s="10"/>
      <c r="B7" s="10"/>
      <c r="C7" s="10"/>
      <c r="D7" s="10"/>
      <c r="E7" s="10"/>
      <c r="F7" s="10"/>
      <c r="G7" s="10"/>
      <c r="H7" s="10"/>
      <c r="I7" s="10"/>
      <c r="J7" s="10"/>
      <c r="K7" s="10"/>
      <c r="L7" s="10"/>
      <c r="M7" s="10"/>
      <c r="N7" s="10"/>
      <c r="O7" s="10"/>
      <c r="P7" s="10"/>
      <c r="Q7" s="10"/>
    </row>
    <row r="8" spans="1:17" x14ac:dyDescent="0.3">
      <c r="A8" s="10"/>
      <c r="B8" s="10"/>
      <c r="C8" s="10"/>
      <c r="D8" s="10"/>
      <c r="E8" s="10"/>
      <c r="F8" s="10"/>
      <c r="G8" s="10"/>
      <c r="H8" s="10"/>
      <c r="I8" s="10"/>
      <c r="J8" s="10"/>
      <c r="K8" s="10"/>
      <c r="L8" s="10"/>
      <c r="M8" s="10"/>
      <c r="N8" s="10"/>
      <c r="O8" s="10"/>
      <c r="P8" s="10"/>
      <c r="Q8" s="10"/>
    </row>
    <row r="9" spans="1:17" x14ac:dyDescent="0.3">
      <c r="A9" s="10"/>
      <c r="B9" s="10"/>
      <c r="C9" s="10"/>
      <c r="D9" s="10"/>
      <c r="E9" s="10"/>
      <c r="F9" s="10"/>
      <c r="G9" s="10"/>
      <c r="H9" s="10"/>
      <c r="I9" s="10"/>
      <c r="J9" s="10"/>
      <c r="K9" s="10"/>
      <c r="L9" s="10"/>
      <c r="M9" s="10"/>
      <c r="N9" s="10"/>
      <c r="O9" s="10"/>
      <c r="P9" s="10"/>
      <c r="Q9" s="10"/>
    </row>
    <row r="10" spans="1:17" x14ac:dyDescent="0.3">
      <c r="A10" s="10"/>
      <c r="B10" s="10"/>
      <c r="C10" s="10"/>
      <c r="D10" s="10"/>
      <c r="E10" s="10"/>
      <c r="F10" s="10"/>
      <c r="G10" s="10"/>
      <c r="H10" s="10"/>
      <c r="I10" s="10"/>
      <c r="J10" s="10"/>
      <c r="K10" s="10"/>
      <c r="L10" s="10"/>
      <c r="M10" s="10"/>
      <c r="N10" s="10"/>
      <c r="O10" s="10"/>
      <c r="P10" s="10"/>
      <c r="Q10" s="10"/>
    </row>
    <row r="11" spans="1:17" x14ac:dyDescent="0.3">
      <c r="A11" s="10"/>
      <c r="B11" s="10"/>
      <c r="C11" s="10"/>
      <c r="D11" s="10"/>
      <c r="E11" s="10"/>
      <c r="F11" s="10"/>
      <c r="G11" s="10"/>
      <c r="H11" s="10"/>
      <c r="I11" s="10"/>
      <c r="J11" s="10"/>
      <c r="K11" s="10"/>
      <c r="L11" s="10"/>
      <c r="M11" s="10"/>
      <c r="N11" s="10"/>
      <c r="O11" s="10"/>
      <c r="P11" s="10"/>
      <c r="Q11" s="10"/>
    </row>
    <row r="12" spans="1:17" x14ac:dyDescent="0.3">
      <c r="A12" s="10"/>
      <c r="B12" s="10"/>
      <c r="C12" s="10"/>
      <c r="D12" s="10"/>
      <c r="E12" s="10"/>
      <c r="F12" s="10"/>
      <c r="G12" s="10"/>
      <c r="H12" s="10"/>
      <c r="I12" s="10"/>
      <c r="J12" s="10"/>
      <c r="K12" s="10"/>
      <c r="L12" s="10"/>
      <c r="M12" s="10"/>
      <c r="N12" s="10"/>
      <c r="O12" s="10"/>
      <c r="P12" s="10"/>
      <c r="Q12" s="10"/>
    </row>
    <row r="13" spans="1:17" x14ac:dyDescent="0.3">
      <c r="A13" s="10"/>
      <c r="B13" s="10"/>
      <c r="C13" s="10"/>
      <c r="D13" s="10"/>
      <c r="E13" s="10"/>
      <c r="F13" s="10"/>
      <c r="G13" s="10"/>
      <c r="H13" s="10"/>
      <c r="I13" s="10"/>
      <c r="J13" s="10"/>
      <c r="K13" s="10"/>
      <c r="L13" s="10"/>
      <c r="M13" s="10"/>
      <c r="N13" s="10"/>
      <c r="O13" s="10"/>
      <c r="P13" s="10"/>
      <c r="Q13" s="10"/>
    </row>
    <row r="14" spans="1:17" x14ac:dyDescent="0.3">
      <c r="A14" s="10"/>
      <c r="B14" s="10"/>
      <c r="C14" s="10"/>
      <c r="D14" s="10"/>
      <c r="E14" s="10"/>
      <c r="F14" s="10"/>
      <c r="G14" s="10"/>
      <c r="H14" s="10"/>
      <c r="I14" s="10"/>
      <c r="J14" s="10"/>
      <c r="K14" s="10"/>
      <c r="L14" s="10"/>
      <c r="M14" s="10"/>
      <c r="N14" s="10"/>
      <c r="O14" s="10"/>
      <c r="P14" s="10"/>
      <c r="Q14" s="10"/>
    </row>
    <row r="15" spans="1:17" x14ac:dyDescent="0.3">
      <c r="A15" s="10"/>
      <c r="B15" s="10"/>
      <c r="C15" s="10"/>
      <c r="D15" s="10"/>
      <c r="E15" s="10"/>
      <c r="F15" s="10"/>
      <c r="G15" s="10"/>
      <c r="H15" s="10"/>
      <c r="I15" s="10"/>
      <c r="J15" s="10"/>
      <c r="K15" s="10"/>
      <c r="L15" s="10"/>
      <c r="M15" s="10"/>
      <c r="N15" s="10"/>
      <c r="O15" s="10"/>
      <c r="P15" s="10"/>
      <c r="Q15" s="10"/>
    </row>
    <row r="16" spans="1:17" x14ac:dyDescent="0.3">
      <c r="A16" s="10"/>
      <c r="B16" s="10"/>
      <c r="C16" s="10"/>
      <c r="D16" s="10"/>
      <c r="E16" s="10"/>
      <c r="F16" s="10"/>
      <c r="G16" s="10"/>
      <c r="H16" s="10"/>
      <c r="I16" s="10"/>
      <c r="J16" s="10"/>
      <c r="K16" s="10"/>
      <c r="L16" s="10"/>
      <c r="M16" s="10"/>
      <c r="N16" s="10"/>
      <c r="O16" s="10"/>
      <c r="P16" s="10"/>
      <c r="Q16" s="10"/>
    </row>
    <row r="17" spans="1:17" x14ac:dyDescent="0.3">
      <c r="A17" s="10"/>
      <c r="B17" s="10"/>
      <c r="C17" s="10"/>
      <c r="D17" s="10"/>
      <c r="E17" s="10"/>
      <c r="F17" s="10"/>
      <c r="G17" s="10"/>
      <c r="H17" s="10"/>
      <c r="I17" s="10"/>
      <c r="J17" s="10"/>
      <c r="K17" s="10"/>
      <c r="L17" s="10"/>
      <c r="M17" s="10"/>
      <c r="N17" s="10"/>
      <c r="O17" s="10"/>
      <c r="P17" s="10"/>
      <c r="Q17" s="10"/>
    </row>
    <row r="18" spans="1:17" x14ac:dyDescent="0.3">
      <c r="A18" s="10"/>
      <c r="B18" s="10"/>
      <c r="C18" s="10"/>
      <c r="D18" s="10"/>
      <c r="E18" s="10"/>
      <c r="F18" s="10"/>
      <c r="G18" s="10"/>
      <c r="H18" s="10"/>
      <c r="I18" s="10"/>
      <c r="J18" s="10"/>
      <c r="K18" s="10"/>
      <c r="L18" s="10"/>
      <c r="M18" s="10"/>
      <c r="N18" s="10"/>
      <c r="O18" s="10"/>
      <c r="P18" s="10"/>
      <c r="Q18" s="10"/>
    </row>
    <row r="19" spans="1:17" x14ac:dyDescent="0.3">
      <c r="A19" s="10"/>
      <c r="B19" s="10"/>
      <c r="C19" s="10"/>
      <c r="D19" s="10"/>
      <c r="E19" s="10"/>
      <c r="F19" s="10"/>
      <c r="G19" s="10"/>
      <c r="H19" s="10"/>
      <c r="I19" s="10"/>
      <c r="J19" s="10"/>
      <c r="K19" s="10"/>
      <c r="L19" s="10"/>
      <c r="M19" s="10"/>
      <c r="N19" s="10"/>
      <c r="O19" s="10"/>
      <c r="P19" s="10"/>
      <c r="Q19" s="10"/>
    </row>
    <row r="20" spans="1:17" x14ac:dyDescent="0.3">
      <c r="A20" s="10"/>
      <c r="B20" s="10"/>
      <c r="C20" s="10"/>
      <c r="D20" s="10"/>
      <c r="E20" s="10"/>
      <c r="F20" s="10"/>
      <c r="G20" s="10"/>
      <c r="H20" s="10"/>
      <c r="I20" s="10"/>
      <c r="J20" s="10"/>
      <c r="K20" s="10"/>
      <c r="L20" s="10"/>
      <c r="M20" s="10"/>
      <c r="N20" s="10"/>
      <c r="O20" s="10"/>
      <c r="P20" s="10"/>
      <c r="Q20" s="10"/>
    </row>
    <row r="21" spans="1:17" x14ac:dyDescent="0.3">
      <c r="A21" s="10"/>
      <c r="B21" s="10"/>
      <c r="C21" s="10"/>
      <c r="D21" s="10"/>
      <c r="E21" s="10"/>
      <c r="F21" s="10"/>
      <c r="G21" s="10"/>
      <c r="H21" s="10"/>
      <c r="I21" s="10"/>
      <c r="J21" s="10"/>
      <c r="K21" s="10"/>
      <c r="L21" s="10"/>
      <c r="M21" s="10"/>
      <c r="N21" s="10"/>
      <c r="O21" s="10"/>
      <c r="P21" s="10"/>
      <c r="Q21" s="10"/>
    </row>
    <row r="22" spans="1:17" x14ac:dyDescent="0.3">
      <c r="A22" s="10"/>
      <c r="B22" s="10"/>
      <c r="C22" s="10"/>
      <c r="D22" s="10"/>
      <c r="E22" s="10"/>
      <c r="F22" s="10"/>
      <c r="G22" s="10"/>
      <c r="H22" s="10"/>
      <c r="I22" s="10"/>
      <c r="J22" s="10"/>
      <c r="K22" s="10"/>
      <c r="L22" s="10"/>
      <c r="M22" s="10"/>
      <c r="N22" s="10"/>
      <c r="O22" s="10"/>
      <c r="P22" s="10"/>
      <c r="Q22" s="1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38E0-F849-4445-B2A2-215A83769AA9}">
  <dimension ref="A1:O23"/>
  <sheetViews>
    <sheetView workbookViewId="0"/>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row r="22" spans="1:15" x14ac:dyDescent="0.3">
      <c r="A22" s="6"/>
      <c r="B22" s="6"/>
      <c r="C22" s="6"/>
      <c r="D22" s="6"/>
      <c r="E22" s="6"/>
      <c r="F22" s="6"/>
      <c r="G22" s="6"/>
      <c r="H22" s="6"/>
      <c r="I22" s="6"/>
      <c r="J22" s="6"/>
      <c r="K22" s="6"/>
      <c r="L22" s="6"/>
      <c r="M22" s="6"/>
      <c r="N22" s="6"/>
      <c r="O22" s="6"/>
    </row>
    <row r="23" spans="1:15" x14ac:dyDescent="0.3">
      <c r="A23" s="6"/>
      <c r="B23" s="6"/>
      <c r="C23" s="6"/>
      <c r="D23" s="6"/>
      <c r="E23" s="6"/>
      <c r="F23" s="6"/>
      <c r="G23" s="6"/>
      <c r="H23" s="6"/>
      <c r="I23" s="6"/>
      <c r="J23" s="6"/>
      <c r="K23" s="6"/>
      <c r="L23" s="6"/>
      <c r="M23" s="6"/>
      <c r="N23" s="6"/>
      <c r="O23"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90370E8-C73D-4BC5-B7E7-A7197D665A2A}">
  <ds:schemaRefs/>
</ds:datastoreItem>
</file>

<file path=customXml/itemProps2.xml><?xml version="1.0" encoding="utf-8"?>
<ds:datastoreItem xmlns:ds="http://schemas.openxmlformats.org/officeDocument/2006/customXml" ds:itemID="{D4FAC3EE-CDCA-4719-B596-1AC576806749}">
  <ds:schemaRefs>
    <ds:schemaRef ds:uri="http://schemas.microsoft.com/DataMashup"/>
  </ds:schemaRefs>
</ds:datastoreItem>
</file>

<file path=customXml/itemProps3.xml><?xml version="1.0" encoding="utf-8"?>
<ds:datastoreItem xmlns:ds="http://schemas.openxmlformats.org/officeDocument/2006/customXml" ds:itemID="{878D243E-D196-4F6A-9995-5AB92656259E}">
  <ds:schemaRefs/>
</ds:datastoreItem>
</file>

<file path=customXml/itemProps4.xml><?xml version="1.0" encoding="utf-8"?>
<ds:datastoreItem xmlns:ds="http://schemas.openxmlformats.org/officeDocument/2006/customXml" ds:itemID="{73B7D0FA-4C5F-4A65-893C-10B4A7F67FE3}">
  <ds:schemaRefs/>
</ds:datastoreItem>
</file>

<file path=customXml/itemProps5.xml><?xml version="1.0" encoding="utf-8"?>
<ds:datastoreItem xmlns:ds="http://schemas.openxmlformats.org/officeDocument/2006/customXml" ds:itemID="{1B6CF0AF-FB1B-4FB8-B3E6-C246C954A920}">
  <ds:schemaRefs/>
</ds:datastoreItem>
</file>

<file path=customXml/itemProps6.xml><?xml version="1.0" encoding="utf-8"?>
<ds:datastoreItem xmlns:ds="http://schemas.openxmlformats.org/officeDocument/2006/customXml" ds:itemID="{95610990-D34E-4A0F-9305-05B42F783F9D}">
  <ds:schemaRefs/>
</ds:datastoreItem>
</file>

<file path=customXml/itemProps7.xml><?xml version="1.0" encoding="utf-8"?>
<ds:datastoreItem xmlns:ds="http://schemas.openxmlformats.org/officeDocument/2006/customXml" ds:itemID="{5EC4F714-53BC-486D-83BB-607436614F26}">
  <ds:schemaRefs/>
</ds:datastoreItem>
</file>

<file path=customXml/itemProps8.xml><?xml version="1.0" encoding="utf-8"?>
<ds:datastoreItem xmlns:ds="http://schemas.openxmlformats.org/officeDocument/2006/customXml" ds:itemID="{FB9A8AE6-A79E-48F7-A1E4-79A18E70964C}">
  <ds:schemaRefs/>
</ds:datastoreItem>
</file>

<file path=customXml/itemProps9.xml><?xml version="1.0" encoding="utf-8"?>
<ds:datastoreItem xmlns:ds="http://schemas.openxmlformats.org/officeDocument/2006/customXml" ds:itemID="{0EC229C4-A722-42A3-B95B-41B94D763EC3}">
  <ds:schemaRefs/>
</ds:datastoreItem>
</file>

<file path=customXml/itemProps10.xml><?xml version="1.0" encoding="utf-8"?>
<ds:datastoreItem xmlns:ds="http://schemas.openxmlformats.org/officeDocument/2006/customXml" ds:itemID="{F778EA19-0419-4E26-B07F-10B69C56A270}">
  <ds:schemaRefs/>
</ds:datastoreItem>
</file>

<file path=customXml/itemProps11.xml><?xml version="1.0" encoding="utf-8"?>
<ds:datastoreItem xmlns:ds="http://schemas.openxmlformats.org/officeDocument/2006/customXml" ds:itemID="{C59ACC0C-4411-41C0-8AAE-A0A445B9FC55}">
  <ds:schemaRefs/>
</ds:datastoreItem>
</file>

<file path=customXml/itemProps12.xml><?xml version="1.0" encoding="utf-8"?>
<ds:datastoreItem xmlns:ds="http://schemas.openxmlformats.org/officeDocument/2006/customXml" ds:itemID="{04AAECEC-F377-4854-A81C-EC7E5947A901}">
  <ds:schemaRefs/>
</ds:datastoreItem>
</file>

<file path=customXml/itemProps13.xml><?xml version="1.0" encoding="utf-8"?>
<ds:datastoreItem xmlns:ds="http://schemas.openxmlformats.org/officeDocument/2006/customXml" ds:itemID="{C3A23198-E354-45EF-8451-5A60A737EDB2}">
  <ds:schemaRefs/>
</ds:datastoreItem>
</file>

<file path=customXml/itemProps14.xml><?xml version="1.0" encoding="utf-8"?>
<ds:datastoreItem xmlns:ds="http://schemas.openxmlformats.org/officeDocument/2006/customXml" ds:itemID="{D0CAC2D4-4C29-46B2-9D2D-880D5F80B521}">
  <ds:schemaRefs/>
</ds:datastoreItem>
</file>

<file path=customXml/itemProps15.xml><?xml version="1.0" encoding="utf-8"?>
<ds:datastoreItem xmlns:ds="http://schemas.openxmlformats.org/officeDocument/2006/customXml" ds:itemID="{F3A4C2B5-AAD8-4114-9782-C050694E3DF0}">
  <ds:schemaRefs/>
</ds:datastoreItem>
</file>

<file path=customXml/itemProps16.xml><?xml version="1.0" encoding="utf-8"?>
<ds:datastoreItem xmlns:ds="http://schemas.openxmlformats.org/officeDocument/2006/customXml" ds:itemID="{11F9D5BB-8AF0-488F-9AA0-6EAD89651B75}">
  <ds:schemaRefs/>
</ds:datastoreItem>
</file>

<file path=customXml/itemProps17.xml><?xml version="1.0" encoding="utf-8"?>
<ds:datastoreItem xmlns:ds="http://schemas.openxmlformats.org/officeDocument/2006/customXml" ds:itemID="{987DAC0B-A53D-45CB-9161-851A400DF5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Wrong Pivot table</vt:lpstr>
      <vt:lpstr>Sheet2</vt:lpstr>
      <vt:lpstr>Orignal Pivot Table</vt:lpstr>
      <vt:lpstr>Patient Satifaction Trend</vt:lpstr>
      <vt:lpstr>Dashboard</vt:lpstr>
      <vt:lpstr>Average Wait time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Pc</dc:creator>
  <cp:lastModifiedBy>Lenovo Pc</cp:lastModifiedBy>
  <dcterms:created xsi:type="dcterms:W3CDTF">2026-07-17T13:11:10Z</dcterms:created>
  <dcterms:modified xsi:type="dcterms:W3CDTF">2026-07-20T09:37:08Z</dcterms:modified>
</cp:coreProperties>
</file>